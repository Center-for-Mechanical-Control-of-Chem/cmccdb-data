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incomplete/"/>
    </mc:Choice>
  </mc:AlternateContent>
  <xr:revisionPtr revIDLastSave="0" documentId="13_ncr:1_{6DB2248A-2DED-EC46-8BE3-E638FD6218FE}" xr6:coauthVersionLast="47" xr6:coauthVersionMax="47" xr10:uidLastSave="{00000000-0000-0000-0000-000000000000}"/>
  <bookViews>
    <workbookView xWindow="9580" yWindow="500" windowWidth="34520" windowHeight="21720" xr2:uid="{67C290E4-36C7-6141-BA54-B171370FD48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N35" i="1"/>
  <c r="N36" i="1"/>
  <c r="N37" i="1"/>
  <c r="N38" i="1"/>
  <c r="N39" i="1"/>
  <c r="N40" i="1"/>
  <c r="N41" i="1"/>
  <c r="N42" i="1"/>
  <c r="N43" i="1"/>
  <c r="N44" i="1"/>
  <c r="N45" i="1"/>
  <c r="N46" i="1"/>
</calcChain>
</file>

<file path=xl/sharedStrings.xml><?xml version="1.0" encoding="utf-8"?>
<sst xmlns="http://schemas.openxmlformats.org/spreadsheetml/2006/main" count="214" uniqueCount="54">
  <si>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</si>
  <si>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</si>
  <si>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</si>
  <si>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</si>
  <si>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</si>
  <si>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</si>
  <si>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</si>
  <si>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</si>
  <si>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</si>
  <si>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</si>
  <si>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DATA</t>
  </si>
  <si>
    <t>Publication URL</t>
  </si>
  <si>
    <t>Duration (s)</t>
  </si>
  <si>
    <t>Amount (millimole)</t>
  </si>
  <si>
    <t>DOI</t>
  </si>
  <si>
    <t>City</t>
  </si>
  <si>
    <t>Condensation</t>
  </si>
  <si>
    <t>School of Chemistry and Chemical Engineering, Queen’s University</t>
  </si>
  <si>
    <t>Belfast</t>
  </si>
  <si>
    <t>10.1039/c6gc03413f</t>
  </si>
  <si>
    <t>https://pubs.rsc.org/en/content/articlelanding/2017/gc/c6gc03413f</t>
  </si>
  <si>
    <t>Frequency (Hz)</t>
  </si>
  <si>
    <t>OC1=CC=C(C=O)C=C1OC</t>
  </si>
  <si>
    <t>O=C(NC1=O)NC(C1)=O</t>
  </si>
  <si>
    <t>SOLVENT</t>
  </si>
  <si>
    <t>O</t>
  </si>
  <si>
    <t>COc1c(O)ccc(/C=C2C(NC(NC\2=O)=O)=O)c1</t>
  </si>
  <si>
    <t>Ball Mill</t>
  </si>
  <si>
    <t>Stainless Steel</t>
  </si>
  <si>
    <t>COC1=CC(C=O)=CC=C1OC</t>
  </si>
  <si>
    <t>COc1c(OC)cc(/C=C2C(NC(NC\2=O)=O)=O)cc1</t>
  </si>
  <si>
    <t>OC1=C(Br)C=C(C=O)C=C1OC</t>
  </si>
  <si>
    <t>COc1c(O)c(Br)cc(/C=C2C(NC(NC\2=O)=O)=O)c1</t>
  </si>
  <si>
    <t>N#CCC#N</t>
  </si>
  <si>
    <t>[O-]C([O-])=O.[Na+]</t>
  </si>
  <si>
    <t>COc1c(O)ccc(/C=C(C#N)/C#N)c1</t>
  </si>
  <si>
    <t>CCOC(CC#N)=O</t>
  </si>
  <si>
    <t>CCOC(/C(C#N)=C/c1cc(OC)c(O)cc1)=O</t>
  </si>
  <si>
    <t>OC1=C(OC)C=CC=C1C=O</t>
  </si>
  <si>
    <t>NC1=CC=C(C=C1)OC2=CC=C(N)C=C2</t>
  </si>
  <si>
    <t>OC</t>
  </si>
  <si>
    <t>COc1c(O)c(/C=N/c2ccc(Oc3ccc(/N=C/c4c(O)c(OC)ccc4)cc3)cc2)ccc1</t>
  </si>
  <si>
    <t>COc1c(OC)cc(C(C2=C(CC(C)(CC2=O)C)O)C3=C(CC(C)(CC3=O)C)O)cc1</t>
  </si>
  <si>
    <t>[H]C(c1cc(OC)c(OC)cc1)=O</t>
  </si>
  <si>
    <t>CC1(CC(CC(C1)=O)=O)C</t>
  </si>
  <si>
    <t>CC1(CC(C(C(C1)=O)C2(C(c3c(C2=O)cccc3)=O)O)=O)C</t>
  </si>
  <si>
    <t>O=C1c2c(C(C1(O)O)=O)cccc2</t>
  </si>
  <si>
    <t>Yield (%)</t>
  </si>
  <si>
    <t>Frequency (RPM)</t>
  </si>
  <si>
    <t>Temperature</t>
  </si>
  <si>
    <t>Thermocouple internal</t>
  </si>
  <si>
    <t>Ball Material</t>
  </si>
  <si>
    <t>Temperature (Celsius)</t>
  </si>
  <si>
    <t>Twin 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</si>
</sst>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color rgb="FF000000"/>
      <name val="Helvetica"/>
      <family val="2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sz val="7"/>
      <color rgb="FF141413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0" borderId="10" xfId="0" applyBorder="1"/>
    <xf numFmtId="0" fontId="0" fillId="3" borderId="0" xfId="0" applyFill="1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1" fillId="0" borderId="6" xfId="0" applyFont="1" applyBorder="1"/>
    <xf numFmtId="0" fontId="0" fillId="0" borderId="0" xfId="0" applyFill="1" applyBorder="1"/>
    <xf numFmtId="0" fontId="0" fillId="0" borderId="0" xfId="0" applyFill="1"/>
    <xf numFmtId="0" fontId="0" fillId="0" borderId="0" xfId="0" applyBorder="1"/>
    <xf numFmtId="0" fontId="0" fillId="0" borderId="11" xfId="0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0" fillId="2" borderId="11" xfId="0" applyFill="1" applyBorder="1"/>
    <xf numFmtId="0" fontId="3" fillId="0" borderId="0" xfId="0" applyFont="1" applyBorder="1"/>
    <xf numFmtId="0" fontId="2" fillId="0" borderId="0" xfId="0" applyFont="1" applyBorder="1"/>
    <xf numFmtId="0" fontId="3" fillId="0" borderId="0" xfId="0" applyFont="1" applyFill="1" applyBorder="1"/>
    <xf numFmtId="0" fontId="3" fillId="0" borderId="11" xfId="0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1:V95"/>
  <sheetViews>
    <sheetView tabSelected="1" workbookViewId="0">
      <selection activeCell="K26" sqref="K26"/>
    </sheetView>
  </sheetViews>
  <sheetFormatPr baseColWidth="10" defaultColWidth="11.1640625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  <col min="17" max="19" width="11.1640625" style="18"/>
    <col min="20" max="22" width="11.1640625" style="19"/>
  </cols>
  <sheetData>
    <row r="1" spans="1:22" x14ac:dyDescent="0.2">
      <c r="T1" s="18"/>
      <c r="U1" s="18"/>
      <c r="V1" s="18"/>
    </row>
    <row r="2" spans="1:22" s="7" customFormat="1" x14ac:dyDescent="0.2">
      <c r="A2" s="7" t="s">
        <v>0</v>
      </c>
      <c r="Q2" s="18"/>
      <c r="R2" s="18"/>
      <c r="S2" s="18"/>
      <c r="T2" s="18"/>
      <c r="U2" s="18"/>
      <c r="V2" s="18"/>
    </row>
    <row r="3" spans="1:22" ht="15" customHeight="1" x14ac:dyDescent="0.2">
      <c r="A3" s="12"/>
      <c r="B3" s="10" t="s">
        <v>3</v>
      </c>
      <c r="C3" t="s">
        <v>2</v>
      </c>
      <c r="D3" t="s">
        <v>15</v>
      </c>
      <c r="E3" t="s">
        <v>14</v>
      </c>
      <c r="F3" s="10" t="s">
        <v>11</v>
      </c>
      <c r="T3" s="18"/>
      <c r="U3" s="18"/>
      <c r="V3" s="18"/>
    </row>
    <row r="4" spans="1:22" ht="15" customHeight="1" x14ac:dyDescent="0.2">
      <c r="A4" s="12"/>
      <c r="C4" t="s">
        <v>5</v>
      </c>
      <c r="T4" s="18"/>
      <c r="U4" s="18"/>
      <c r="V4" s="18"/>
    </row>
    <row r="5" spans="1:22" s="2" customFormat="1" x14ac:dyDescent="0.2">
      <c r="A5" s="12"/>
      <c r="B5" s="11" t="s">
        <v>16</v>
      </c>
      <c r="C5" s="16" t="s">
        <v>17</v>
      </c>
      <c r="D5" s="16" t="s">
        <v>18</v>
      </c>
      <c r="E5" s="16" t="s">
        <v>19</v>
      </c>
      <c r="F5" s="11" t="s">
        <v>20</v>
      </c>
      <c r="G5"/>
      <c r="H5"/>
      <c r="I5"/>
      <c r="J5"/>
      <c r="K5"/>
      <c r="L5"/>
      <c r="M5"/>
      <c r="N5"/>
      <c r="O5"/>
      <c r="Q5" s="18"/>
      <c r="R5" s="18"/>
      <c r="S5" s="18"/>
      <c r="T5" s="18"/>
      <c r="U5" s="18"/>
      <c r="V5" s="18"/>
    </row>
    <row r="6" spans="1:22" s="7" customFormat="1" x14ac:dyDescent="0.2">
      <c r="A6" s="7" t="s">
        <v>6</v>
      </c>
      <c r="C6" s="29"/>
      <c r="Q6" s="18"/>
      <c r="R6" s="18"/>
      <c r="S6" s="18"/>
      <c r="T6" s="18"/>
      <c r="U6" s="18"/>
      <c r="V6" s="18"/>
    </row>
    <row r="7" spans="1:22" x14ac:dyDescent="0.2">
      <c r="A7" s="12"/>
      <c r="B7" s="3" t="s">
        <v>7</v>
      </c>
      <c r="C7" s="4"/>
      <c r="D7" s="3" t="s">
        <v>7</v>
      </c>
      <c r="E7" s="4"/>
      <c r="F7" s="3" t="s">
        <v>24</v>
      </c>
      <c r="G7" s="4"/>
      <c r="H7" s="3" t="s">
        <v>7</v>
      </c>
      <c r="I7" s="4"/>
      <c r="J7" s="3" t="s">
        <v>8</v>
      </c>
      <c r="K7" s="1"/>
      <c r="L7" s="3" t="s">
        <v>1</v>
      </c>
      <c r="M7" s="1"/>
      <c r="N7" s="1"/>
      <c r="O7" s="1"/>
      <c r="T7" s="18"/>
      <c r="U7" s="18"/>
      <c r="V7" s="18"/>
    </row>
    <row r="8" spans="1:22" x14ac:dyDescent="0.2">
      <c r="A8" s="12"/>
      <c r="B8" s="5" t="s">
        <v>9</v>
      </c>
      <c r="C8" s="6" t="s">
        <v>13</v>
      </c>
      <c r="D8" s="5" t="s">
        <v>9</v>
      </c>
      <c r="E8" s="6" t="s">
        <v>13</v>
      </c>
      <c r="F8" s="5" t="s">
        <v>9</v>
      </c>
      <c r="G8" s="6" t="s">
        <v>13</v>
      </c>
      <c r="H8" s="5" t="s">
        <v>9</v>
      </c>
      <c r="I8" s="6" t="s">
        <v>13</v>
      </c>
      <c r="J8" s="5" t="s">
        <v>9</v>
      </c>
      <c r="K8" s="17" t="s">
        <v>47</v>
      </c>
      <c r="L8" s="5" t="s">
        <v>4</v>
      </c>
      <c r="M8" t="s">
        <v>21</v>
      </c>
      <c r="N8" s="15" t="s">
        <v>51</v>
      </c>
      <c r="O8" t="s">
        <v>12</v>
      </c>
      <c r="T8" s="18"/>
      <c r="U8" s="18"/>
      <c r="V8" s="18"/>
    </row>
    <row r="9" spans="1:22" s="7" customFormat="1" x14ac:dyDescent="0.2">
      <c r="A9" s="7" t="s">
        <v>10</v>
      </c>
      <c r="B9" s="8"/>
      <c r="C9" s="9"/>
      <c r="D9" s="8"/>
      <c r="E9" s="9"/>
      <c r="F9" s="8"/>
      <c r="G9" s="9"/>
      <c r="H9" s="8"/>
      <c r="I9" s="9"/>
      <c r="J9" s="8"/>
      <c r="L9" s="8"/>
      <c r="Q9" s="18"/>
      <c r="R9" s="18"/>
      <c r="S9" s="18"/>
      <c r="T9" s="18"/>
      <c r="U9" s="18"/>
      <c r="V9" s="18"/>
    </row>
    <row r="10" spans="1:22" x14ac:dyDescent="0.2">
      <c r="A10" s="12"/>
      <c r="B10" s="5" t="s">
        <v>22</v>
      </c>
      <c r="C10" s="6">
        <v>1.9</v>
      </c>
      <c r="D10" s="5" t="s">
        <v>23</v>
      </c>
      <c r="E10" s="6">
        <v>1.9</v>
      </c>
      <c r="F10" s="5" t="s">
        <v>25</v>
      </c>
      <c r="G10">
        <v>0.69399999999999995</v>
      </c>
      <c r="H10" s="5"/>
      <c r="I10" s="6"/>
      <c r="J10" s="5" t="s">
        <v>26</v>
      </c>
      <c r="K10">
        <v>66.59</v>
      </c>
      <c r="L10" s="14" t="s">
        <v>27</v>
      </c>
      <c r="M10" s="14">
        <v>25</v>
      </c>
      <c r="N10" s="6" t="s">
        <v>28</v>
      </c>
      <c r="O10">
        <f>60*30</f>
        <v>1800</v>
      </c>
      <c r="T10" s="18"/>
      <c r="U10" s="18"/>
      <c r="V10" s="18"/>
    </row>
    <row r="11" spans="1:22" x14ac:dyDescent="0.2">
      <c r="A11" s="12"/>
      <c r="B11" s="5" t="s">
        <v>22</v>
      </c>
      <c r="C11" s="6">
        <v>1.9</v>
      </c>
      <c r="D11" s="5" t="s">
        <v>23</v>
      </c>
      <c r="E11" s="6">
        <v>1.9</v>
      </c>
      <c r="F11" s="5" t="s">
        <v>25</v>
      </c>
      <c r="G11">
        <v>0.69399999999999995</v>
      </c>
      <c r="H11" s="5"/>
      <c r="I11" s="6"/>
      <c r="J11" s="5" t="s">
        <v>26</v>
      </c>
      <c r="K11">
        <v>99.29</v>
      </c>
      <c r="L11" s="14" t="s">
        <v>27</v>
      </c>
      <c r="M11" s="14">
        <v>25</v>
      </c>
      <c r="N11" s="6" t="s">
        <v>28</v>
      </c>
      <c r="O11">
        <f>60*60</f>
        <v>3600</v>
      </c>
      <c r="T11" s="18"/>
      <c r="U11" s="18"/>
      <c r="V11" s="18"/>
    </row>
    <row r="12" spans="1:22" x14ac:dyDescent="0.2">
      <c r="A12" s="12"/>
      <c r="B12" s="5" t="s">
        <v>29</v>
      </c>
      <c r="C12" s="6">
        <v>1.9</v>
      </c>
      <c r="D12" s="5" t="s">
        <v>23</v>
      </c>
      <c r="E12" s="6">
        <v>1.9</v>
      </c>
      <c r="F12" s="5" t="s">
        <v>25</v>
      </c>
      <c r="G12">
        <v>0.69399999999999995</v>
      </c>
      <c r="H12" s="5"/>
      <c r="I12" s="6"/>
      <c r="J12" s="5" t="s">
        <v>30</v>
      </c>
      <c r="K12">
        <v>12.13</v>
      </c>
      <c r="L12" s="14" t="s">
        <v>27</v>
      </c>
      <c r="M12" s="14">
        <v>25</v>
      </c>
      <c r="N12" s="6" t="s">
        <v>28</v>
      </c>
      <c r="O12">
        <f>60*30</f>
        <v>1800</v>
      </c>
      <c r="T12" s="18"/>
      <c r="U12" s="18"/>
      <c r="V12" s="18"/>
    </row>
    <row r="13" spans="1:22" x14ac:dyDescent="0.2">
      <c r="A13" s="12"/>
      <c r="B13" s="5" t="s">
        <v>29</v>
      </c>
      <c r="C13" s="6">
        <v>1.9</v>
      </c>
      <c r="D13" s="5" t="s">
        <v>23</v>
      </c>
      <c r="E13" s="6">
        <v>1.9</v>
      </c>
      <c r="F13" s="5" t="s">
        <v>25</v>
      </c>
      <c r="G13">
        <v>0.69399999999999995</v>
      </c>
      <c r="H13" s="5"/>
      <c r="I13" s="6"/>
      <c r="J13" s="5" t="s">
        <v>30</v>
      </c>
      <c r="K13">
        <v>90.5</v>
      </c>
      <c r="L13" s="14" t="s">
        <v>27</v>
      </c>
      <c r="M13" s="14">
        <v>25</v>
      </c>
      <c r="N13" s="6" t="s">
        <v>28</v>
      </c>
      <c r="O13">
        <f>60*60</f>
        <v>3600</v>
      </c>
      <c r="T13" s="18"/>
      <c r="U13" s="18"/>
      <c r="V13" s="18"/>
    </row>
    <row r="14" spans="1:22" x14ac:dyDescent="0.2">
      <c r="A14" s="12"/>
      <c r="B14" s="5" t="s">
        <v>29</v>
      </c>
      <c r="C14" s="6">
        <v>1.9</v>
      </c>
      <c r="D14" s="5" t="s">
        <v>23</v>
      </c>
      <c r="E14" s="6">
        <v>1.9</v>
      </c>
      <c r="F14" s="5" t="s">
        <v>25</v>
      </c>
      <c r="G14">
        <v>0.69399999999999995</v>
      </c>
      <c r="H14" s="5"/>
      <c r="I14" s="6"/>
      <c r="J14" s="5" t="s">
        <v>30</v>
      </c>
      <c r="K14">
        <v>98.61</v>
      </c>
      <c r="L14" s="14" t="s">
        <v>27</v>
      </c>
      <c r="M14" s="14">
        <v>25</v>
      </c>
      <c r="N14" s="6" t="s">
        <v>28</v>
      </c>
      <c r="O14">
        <f>60*90</f>
        <v>5400</v>
      </c>
      <c r="T14" s="18"/>
      <c r="U14" s="18"/>
      <c r="V14" s="18"/>
    </row>
    <row r="15" spans="1:22" x14ac:dyDescent="0.2">
      <c r="A15" s="12"/>
      <c r="B15" s="5" t="s">
        <v>31</v>
      </c>
      <c r="C15" s="6">
        <v>1.9</v>
      </c>
      <c r="D15" s="5" t="s">
        <v>23</v>
      </c>
      <c r="E15" s="6">
        <v>1.9</v>
      </c>
      <c r="F15" s="5" t="s">
        <v>25</v>
      </c>
      <c r="G15">
        <v>0.69399999999999995</v>
      </c>
      <c r="H15" s="5"/>
      <c r="I15" s="6"/>
      <c r="J15" s="5" t="s">
        <v>32</v>
      </c>
      <c r="K15">
        <v>54.4</v>
      </c>
      <c r="L15" s="14" t="s">
        <v>27</v>
      </c>
      <c r="M15" s="14">
        <v>25</v>
      </c>
      <c r="N15" s="6" t="s">
        <v>28</v>
      </c>
      <c r="O15">
        <f>60*30</f>
        <v>1800</v>
      </c>
      <c r="T15" s="18"/>
      <c r="U15" s="18"/>
      <c r="V15" s="18"/>
    </row>
    <row r="16" spans="1:22" x14ac:dyDescent="0.2">
      <c r="A16" s="12"/>
      <c r="B16" s="5" t="s">
        <v>31</v>
      </c>
      <c r="C16" s="6">
        <v>1.9</v>
      </c>
      <c r="D16" s="5" t="s">
        <v>23</v>
      </c>
      <c r="E16" s="6">
        <v>1.9</v>
      </c>
      <c r="F16" s="5" t="s">
        <v>25</v>
      </c>
      <c r="G16">
        <v>0.69399999999999995</v>
      </c>
      <c r="H16" s="5"/>
      <c r="I16" s="6"/>
      <c r="J16" s="5" t="s">
        <v>32</v>
      </c>
      <c r="K16">
        <v>76.8</v>
      </c>
      <c r="L16" s="14" t="s">
        <v>27</v>
      </c>
      <c r="M16" s="14">
        <v>25</v>
      </c>
      <c r="N16" s="6" t="s">
        <v>28</v>
      </c>
      <c r="O16">
        <f>60*60</f>
        <v>3600</v>
      </c>
      <c r="T16" s="18"/>
      <c r="U16" s="18"/>
      <c r="V16" s="18"/>
    </row>
    <row r="17" spans="1:22" x14ac:dyDescent="0.2">
      <c r="A17" s="12"/>
      <c r="B17" s="5" t="s">
        <v>31</v>
      </c>
      <c r="C17" s="6">
        <v>1.9</v>
      </c>
      <c r="D17" s="5" t="s">
        <v>23</v>
      </c>
      <c r="E17" s="6">
        <v>1.9</v>
      </c>
      <c r="F17" s="5" t="s">
        <v>25</v>
      </c>
      <c r="G17">
        <v>0.69399999999999995</v>
      </c>
      <c r="H17" s="5"/>
      <c r="I17" s="6"/>
      <c r="J17" s="5" t="s">
        <v>32</v>
      </c>
      <c r="K17">
        <v>77.3</v>
      </c>
      <c r="L17" s="14" t="s">
        <v>27</v>
      </c>
      <c r="M17" s="14">
        <v>25</v>
      </c>
      <c r="N17" s="6" t="s">
        <v>28</v>
      </c>
      <c r="O17">
        <f>60*90</f>
        <v>5400</v>
      </c>
      <c r="T17" s="18"/>
      <c r="U17" s="18"/>
      <c r="V17" s="18"/>
    </row>
    <row r="18" spans="1:22" x14ac:dyDescent="0.2">
      <c r="A18" s="12"/>
      <c r="B18" s="5" t="s">
        <v>38</v>
      </c>
      <c r="C18" s="6">
        <v>1.31</v>
      </c>
      <c r="D18" s="5" t="s">
        <v>39</v>
      </c>
      <c r="E18" s="6">
        <v>0.65</v>
      </c>
      <c r="F18" s="5" t="s">
        <v>40</v>
      </c>
      <c r="G18">
        <v>0.96699999999999997</v>
      </c>
      <c r="H18" s="5"/>
      <c r="I18" s="6"/>
      <c r="J18" s="5" t="s">
        <v>41</v>
      </c>
      <c r="K18">
        <v>74</v>
      </c>
      <c r="L18" s="14" t="s">
        <v>27</v>
      </c>
      <c r="M18" s="14">
        <v>15</v>
      </c>
      <c r="N18" s="6" t="s">
        <v>28</v>
      </c>
      <c r="O18">
        <f>60*15</f>
        <v>900</v>
      </c>
      <c r="T18" s="18"/>
      <c r="U18" s="18"/>
      <c r="V18" s="18"/>
    </row>
    <row r="19" spans="1:22" x14ac:dyDescent="0.2">
      <c r="A19" s="12"/>
      <c r="B19" s="5" t="s">
        <v>38</v>
      </c>
      <c r="C19" s="6">
        <v>1.31</v>
      </c>
      <c r="D19" s="5" t="s">
        <v>39</v>
      </c>
      <c r="E19" s="6">
        <v>0.65</v>
      </c>
      <c r="F19" s="5" t="s">
        <v>40</v>
      </c>
      <c r="G19">
        <v>0.96699999999999997</v>
      </c>
      <c r="H19" s="5"/>
      <c r="I19" s="6"/>
      <c r="J19" s="5" t="s">
        <v>41</v>
      </c>
      <c r="K19">
        <v>90</v>
      </c>
      <c r="L19" s="14" t="s">
        <v>27</v>
      </c>
      <c r="M19" s="14">
        <v>25</v>
      </c>
      <c r="N19" s="6" t="s">
        <v>28</v>
      </c>
      <c r="O19">
        <f>60*15</f>
        <v>900</v>
      </c>
      <c r="T19" s="18"/>
      <c r="U19" s="18"/>
      <c r="V19" s="18"/>
    </row>
    <row r="20" spans="1:22" x14ac:dyDescent="0.2">
      <c r="A20" s="12"/>
      <c r="B20" s="5" t="s">
        <v>38</v>
      </c>
      <c r="C20" s="6">
        <v>1.31</v>
      </c>
      <c r="D20" s="5" t="s">
        <v>39</v>
      </c>
      <c r="E20" s="6">
        <v>0.65</v>
      </c>
      <c r="F20" s="5" t="s">
        <v>40</v>
      </c>
      <c r="G20">
        <v>0</v>
      </c>
      <c r="H20" s="5"/>
      <c r="I20" s="6"/>
      <c r="J20" s="5" t="s">
        <v>41</v>
      </c>
      <c r="K20">
        <v>89</v>
      </c>
      <c r="L20" s="14" t="s">
        <v>27</v>
      </c>
      <c r="M20" s="14">
        <v>25</v>
      </c>
      <c r="N20" s="6" t="s">
        <v>28</v>
      </c>
      <c r="O20">
        <f>60*15</f>
        <v>900</v>
      </c>
      <c r="T20" s="18"/>
      <c r="U20" s="18"/>
      <c r="V20" s="18"/>
    </row>
    <row r="21" spans="1:22" x14ac:dyDescent="0.2">
      <c r="A21" s="12"/>
      <c r="B21" s="5" t="s">
        <v>38</v>
      </c>
      <c r="C21" s="6">
        <v>1.31</v>
      </c>
      <c r="D21" s="5" t="s">
        <v>39</v>
      </c>
      <c r="E21" s="6">
        <v>0.65</v>
      </c>
      <c r="F21" s="5" t="s">
        <v>40</v>
      </c>
      <c r="G21">
        <v>0</v>
      </c>
      <c r="H21" s="5"/>
      <c r="I21" s="6"/>
      <c r="J21" s="5" t="s">
        <v>41</v>
      </c>
      <c r="K21">
        <v>93</v>
      </c>
      <c r="L21" s="14" t="s">
        <v>27</v>
      </c>
      <c r="M21" s="14">
        <v>25</v>
      </c>
      <c r="N21" s="6" t="s">
        <v>28</v>
      </c>
      <c r="O21">
        <f>60*20</f>
        <v>1200</v>
      </c>
      <c r="T21" s="18"/>
      <c r="U21" s="18"/>
      <c r="V21" s="18"/>
    </row>
    <row r="22" spans="1:22" x14ac:dyDescent="0.2">
      <c r="A22" s="12"/>
      <c r="B22" s="5" t="s">
        <v>38</v>
      </c>
      <c r="C22" s="6">
        <v>1.31</v>
      </c>
      <c r="D22" s="5" t="s">
        <v>39</v>
      </c>
      <c r="E22" s="6">
        <v>0.65</v>
      </c>
      <c r="F22" s="5" t="s">
        <v>40</v>
      </c>
      <c r="G22">
        <v>0</v>
      </c>
      <c r="H22" s="5"/>
      <c r="I22" s="6"/>
      <c r="J22" s="5" t="s">
        <v>41</v>
      </c>
      <c r="K22">
        <v>100</v>
      </c>
      <c r="L22" s="14" t="s">
        <v>27</v>
      </c>
      <c r="M22" s="14">
        <v>25</v>
      </c>
      <c r="N22" s="6" t="s">
        <v>28</v>
      </c>
      <c r="O22">
        <f>60*30</f>
        <v>1800</v>
      </c>
      <c r="T22" s="18"/>
      <c r="U22" s="18"/>
      <c r="V22" s="18"/>
    </row>
    <row r="23" spans="1:22" x14ac:dyDescent="0.2">
      <c r="A23" s="12"/>
      <c r="B23" s="5" t="s">
        <v>46</v>
      </c>
      <c r="C23" s="6">
        <v>2.81</v>
      </c>
      <c r="D23" s="5" t="s">
        <v>44</v>
      </c>
      <c r="E23" s="6">
        <v>2.81</v>
      </c>
      <c r="F23" s="5"/>
      <c r="G23" s="6"/>
      <c r="H23" s="5" t="s">
        <v>34</v>
      </c>
      <c r="I23" s="6">
        <v>0.217</v>
      </c>
      <c r="J23" s="5" t="s">
        <v>45</v>
      </c>
      <c r="K23">
        <v>100</v>
      </c>
      <c r="L23" s="14" t="s">
        <v>27</v>
      </c>
      <c r="M23" s="14">
        <v>25</v>
      </c>
      <c r="N23" s="6" t="s">
        <v>28</v>
      </c>
      <c r="O23">
        <f>60*30</f>
        <v>1800</v>
      </c>
      <c r="T23" s="18"/>
      <c r="U23" s="18"/>
      <c r="V23" s="18"/>
    </row>
    <row r="25" spans="1:22" s="19" customForma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7"/>
      <c r="M25" s="27"/>
      <c r="N25" s="18"/>
      <c r="O25" s="23"/>
      <c r="P25" s="18"/>
      <c r="Q25" s="18"/>
      <c r="R25" s="18"/>
      <c r="S25" s="18"/>
      <c r="T25" s="18"/>
      <c r="U25" s="18"/>
      <c r="V25" s="18"/>
    </row>
    <row r="26" spans="1:22" s="19" customFormat="1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8"/>
      <c r="M26" s="28"/>
      <c r="N26" s="21"/>
      <c r="O26" s="23"/>
      <c r="P26" s="18"/>
      <c r="Q26" s="18"/>
      <c r="R26" s="18"/>
      <c r="S26" s="18"/>
    </row>
    <row r="27" spans="1:22" x14ac:dyDescent="0.2">
      <c r="A27" s="24" t="s">
        <v>0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18"/>
      <c r="P27" s="18"/>
    </row>
    <row r="28" spans="1:22" x14ac:dyDescent="0.2">
      <c r="A28" s="12"/>
      <c r="B28" s="10" t="s">
        <v>3</v>
      </c>
      <c r="C28" t="s">
        <v>2</v>
      </c>
      <c r="D28" t="s">
        <v>15</v>
      </c>
      <c r="E28" t="s">
        <v>14</v>
      </c>
      <c r="F28" s="10" t="s">
        <v>11</v>
      </c>
      <c r="O28" s="18"/>
      <c r="P28" s="18"/>
    </row>
    <row r="29" spans="1:22" x14ac:dyDescent="0.2">
      <c r="A29" s="12"/>
      <c r="C29" t="s">
        <v>5</v>
      </c>
      <c r="O29" s="18"/>
      <c r="P29" s="18"/>
    </row>
    <row r="30" spans="1:22" x14ac:dyDescent="0.2">
      <c r="A30" s="12"/>
      <c r="B30" s="11" t="s">
        <v>16</v>
      </c>
      <c r="C30" s="16" t="s">
        <v>17</v>
      </c>
      <c r="D30" s="16" t="s">
        <v>18</v>
      </c>
      <c r="E30" s="16" t="s">
        <v>19</v>
      </c>
      <c r="F30" s="11" t="s">
        <v>20</v>
      </c>
      <c r="O30" s="18"/>
      <c r="P30" s="18"/>
    </row>
    <row r="31" spans="1:22" x14ac:dyDescent="0.2">
      <c r="A31" s="7" t="s">
        <v>6</v>
      </c>
      <c r="B31" s="7"/>
      <c r="C31" s="2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8"/>
      <c r="P31" s="18"/>
    </row>
    <row r="32" spans="1:22" x14ac:dyDescent="0.2">
      <c r="A32" s="12"/>
      <c r="B32" s="3" t="s">
        <v>7</v>
      </c>
      <c r="C32" s="4"/>
      <c r="D32" s="3" t="s">
        <v>7</v>
      </c>
      <c r="E32" s="4"/>
      <c r="F32" s="3" t="s">
        <v>7</v>
      </c>
      <c r="G32" s="4"/>
      <c r="H32" s="3" t="s">
        <v>8</v>
      </c>
      <c r="I32" s="1"/>
      <c r="J32" t="s">
        <v>49</v>
      </c>
      <c r="L32" s="3" t="s">
        <v>1</v>
      </c>
      <c r="M32" s="1"/>
      <c r="N32" s="1"/>
      <c r="O32" s="18"/>
      <c r="P32" s="18"/>
    </row>
    <row r="33" spans="1:22" x14ac:dyDescent="0.2">
      <c r="A33" s="12"/>
      <c r="B33" s="5" t="s">
        <v>9</v>
      </c>
      <c r="C33" s="6" t="s">
        <v>13</v>
      </c>
      <c r="D33" s="5" t="s">
        <v>9</v>
      </c>
      <c r="E33" s="6" t="s">
        <v>13</v>
      </c>
      <c r="F33" s="5" t="s">
        <v>9</v>
      </c>
      <c r="G33" s="6" t="s">
        <v>13</v>
      </c>
      <c r="H33" s="5" t="s">
        <v>9</v>
      </c>
      <c r="I33" s="17" t="s">
        <v>47</v>
      </c>
      <c r="J33" t="s">
        <v>4</v>
      </c>
      <c r="K33" s="15" t="s">
        <v>52</v>
      </c>
      <c r="L33" s="5" t="s">
        <v>4</v>
      </c>
      <c r="M33" t="s">
        <v>48</v>
      </c>
      <c r="N33" t="s">
        <v>12</v>
      </c>
      <c r="O33" s="18"/>
      <c r="P33" s="18"/>
      <c r="Q33" s="22"/>
    </row>
    <row r="34" spans="1:22" x14ac:dyDescent="0.2">
      <c r="A34" s="7" t="s">
        <v>10</v>
      </c>
      <c r="B34" s="8"/>
      <c r="C34" s="9"/>
      <c r="D34" s="8"/>
      <c r="E34" s="9"/>
      <c r="F34" s="8"/>
      <c r="G34" s="9"/>
      <c r="H34" s="8"/>
      <c r="I34" s="7"/>
      <c r="J34" s="7"/>
      <c r="K34" s="9"/>
      <c r="L34" s="8"/>
      <c r="M34" s="7"/>
      <c r="N34" s="7"/>
      <c r="O34" s="18"/>
      <c r="P34" s="18"/>
    </row>
    <row r="35" spans="1:22" x14ac:dyDescent="0.2">
      <c r="A35" s="12"/>
      <c r="B35" s="5" t="s">
        <v>22</v>
      </c>
      <c r="C35">
        <v>1.9</v>
      </c>
      <c r="D35" s="5" t="s">
        <v>23</v>
      </c>
      <c r="E35">
        <v>1.9</v>
      </c>
      <c r="F35" s="5"/>
      <c r="G35" s="6"/>
      <c r="H35" s="5" t="s">
        <v>26</v>
      </c>
      <c r="I35">
        <v>100</v>
      </c>
      <c r="J35" t="s">
        <v>50</v>
      </c>
      <c r="K35">
        <v>160</v>
      </c>
      <c r="L35" s="14" t="s">
        <v>53</v>
      </c>
      <c r="M35">
        <v>55</v>
      </c>
      <c r="N35">
        <f>60*2</f>
        <v>120</v>
      </c>
      <c r="O35" s="18"/>
      <c r="P35" s="18"/>
    </row>
    <row r="36" spans="1:22" x14ac:dyDescent="0.2">
      <c r="A36" s="12"/>
      <c r="B36" s="5" t="s">
        <v>29</v>
      </c>
      <c r="C36">
        <v>1.9</v>
      </c>
      <c r="D36" s="5" t="s">
        <v>23</v>
      </c>
      <c r="E36">
        <v>1.9</v>
      </c>
      <c r="F36" s="5"/>
      <c r="G36" s="6"/>
      <c r="H36" s="5" t="s">
        <v>30</v>
      </c>
      <c r="I36">
        <v>100</v>
      </c>
      <c r="J36" t="s">
        <v>50</v>
      </c>
      <c r="K36">
        <v>160</v>
      </c>
      <c r="L36" s="14" t="s">
        <v>53</v>
      </c>
      <c r="M36">
        <v>55</v>
      </c>
      <c r="N36">
        <f>60*2</f>
        <v>120</v>
      </c>
      <c r="O36" s="18"/>
      <c r="P36" s="18"/>
    </row>
    <row r="37" spans="1:22" x14ac:dyDescent="0.2">
      <c r="A37" s="12"/>
      <c r="B37" s="5" t="s">
        <v>31</v>
      </c>
      <c r="C37">
        <v>1.9</v>
      </c>
      <c r="D37" s="5" t="s">
        <v>23</v>
      </c>
      <c r="E37">
        <v>1.9</v>
      </c>
      <c r="F37" s="5"/>
      <c r="G37" s="6"/>
      <c r="H37" s="5" t="s">
        <v>32</v>
      </c>
      <c r="I37">
        <v>100</v>
      </c>
      <c r="J37" t="s">
        <v>50</v>
      </c>
      <c r="K37">
        <v>160</v>
      </c>
      <c r="L37" s="14" t="s">
        <v>53</v>
      </c>
      <c r="M37">
        <v>55</v>
      </c>
      <c r="N37">
        <f>60*2</f>
        <v>120</v>
      </c>
      <c r="Q37"/>
    </row>
    <row r="38" spans="1:22" x14ac:dyDescent="0.2">
      <c r="A38" s="12"/>
      <c r="B38" s="5" t="s">
        <v>22</v>
      </c>
      <c r="C38" s="6">
        <v>82</v>
      </c>
      <c r="D38" s="5" t="s">
        <v>33</v>
      </c>
      <c r="E38" s="6">
        <v>82</v>
      </c>
      <c r="F38" s="5" t="s">
        <v>34</v>
      </c>
      <c r="G38" s="6">
        <v>8</v>
      </c>
      <c r="H38" s="5" t="s">
        <v>35</v>
      </c>
      <c r="I38">
        <v>100</v>
      </c>
      <c r="J38" t="s">
        <v>50</v>
      </c>
      <c r="K38">
        <v>120</v>
      </c>
      <c r="L38" s="14" t="s">
        <v>53</v>
      </c>
      <c r="M38">
        <v>55</v>
      </c>
      <c r="N38">
        <f>60*2</f>
        <v>120</v>
      </c>
      <c r="Q38"/>
    </row>
    <row r="39" spans="1:22" x14ac:dyDescent="0.2">
      <c r="A39" s="12"/>
      <c r="B39" s="5" t="s">
        <v>22</v>
      </c>
      <c r="C39" s="6">
        <v>66</v>
      </c>
      <c r="D39" s="5" t="s">
        <v>36</v>
      </c>
      <c r="E39" s="6">
        <v>66</v>
      </c>
      <c r="F39" s="5" t="s">
        <v>34</v>
      </c>
      <c r="G39" s="6">
        <v>16.420000000000002</v>
      </c>
      <c r="H39" s="5" t="s">
        <v>37</v>
      </c>
      <c r="I39">
        <v>100</v>
      </c>
      <c r="J39" t="s">
        <v>50</v>
      </c>
      <c r="K39">
        <v>160</v>
      </c>
      <c r="L39" s="14" t="s">
        <v>53</v>
      </c>
      <c r="M39">
        <v>55</v>
      </c>
      <c r="N39">
        <f>60*6</f>
        <v>360</v>
      </c>
      <c r="Q39"/>
    </row>
    <row r="40" spans="1:22" x14ac:dyDescent="0.2">
      <c r="A40" s="12"/>
      <c r="B40" s="5" t="s">
        <v>38</v>
      </c>
      <c r="C40" s="6">
        <v>82</v>
      </c>
      <c r="D40" s="5" t="s">
        <v>39</v>
      </c>
      <c r="E40" s="6">
        <v>41</v>
      </c>
      <c r="F40" s="5"/>
      <c r="G40" s="6"/>
      <c r="H40" s="5" t="s">
        <v>41</v>
      </c>
      <c r="I40">
        <v>0</v>
      </c>
      <c r="J40" t="s">
        <v>50</v>
      </c>
      <c r="K40">
        <v>80</v>
      </c>
      <c r="L40" s="14" t="s">
        <v>53</v>
      </c>
      <c r="M40">
        <v>55</v>
      </c>
      <c r="N40">
        <f>60*2</f>
        <v>120</v>
      </c>
      <c r="Q40" s="13"/>
    </row>
    <row r="41" spans="1:22" x14ac:dyDescent="0.2">
      <c r="A41" s="12"/>
      <c r="B41" s="5" t="s">
        <v>38</v>
      </c>
      <c r="C41" s="6">
        <v>82</v>
      </c>
      <c r="D41" s="5" t="s">
        <v>39</v>
      </c>
      <c r="E41" s="6">
        <v>41</v>
      </c>
      <c r="F41" s="5"/>
      <c r="G41" s="6"/>
      <c r="H41" s="5" t="s">
        <v>41</v>
      </c>
      <c r="I41">
        <v>45</v>
      </c>
      <c r="J41" t="s">
        <v>50</v>
      </c>
      <c r="K41">
        <v>80</v>
      </c>
      <c r="L41" s="14" t="s">
        <v>53</v>
      </c>
      <c r="M41">
        <v>55</v>
      </c>
      <c r="N41">
        <f>60*2</f>
        <v>120</v>
      </c>
      <c r="Q41" s="13"/>
    </row>
    <row r="42" spans="1:22" x14ac:dyDescent="0.2">
      <c r="A42" s="12"/>
      <c r="B42" s="5" t="s">
        <v>38</v>
      </c>
      <c r="C42" s="6">
        <v>82</v>
      </c>
      <c r="D42" s="5" t="s">
        <v>39</v>
      </c>
      <c r="E42" s="6">
        <v>41</v>
      </c>
      <c r="F42" s="5"/>
      <c r="G42" s="6"/>
      <c r="H42" s="5" t="s">
        <v>41</v>
      </c>
      <c r="I42">
        <v>70</v>
      </c>
      <c r="J42" t="s">
        <v>50</v>
      </c>
      <c r="K42">
        <v>80</v>
      </c>
      <c r="L42" s="14" t="s">
        <v>53</v>
      </c>
      <c r="M42">
        <v>55</v>
      </c>
      <c r="N42">
        <f>60*2</f>
        <v>120</v>
      </c>
      <c r="Q42" s="13"/>
    </row>
    <row r="43" spans="1:22" x14ac:dyDescent="0.2">
      <c r="A43" s="12"/>
      <c r="B43" s="5" t="s">
        <v>38</v>
      </c>
      <c r="C43" s="6">
        <v>82</v>
      </c>
      <c r="D43" s="5" t="s">
        <v>39</v>
      </c>
      <c r="E43" s="6">
        <v>41</v>
      </c>
      <c r="F43" s="5"/>
      <c r="G43" s="6"/>
      <c r="H43" s="5" t="s">
        <v>41</v>
      </c>
      <c r="I43">
        <v>91</v>
      </c>
      <c r="J43" t="s">
        <v>50</v>
      </c>
      <c r="K43">
        <v>100</v>
      </c>
      <c r="L43" s="14" t="s">
        <v>53</v>
      </c>
      <c r="M43">
        <v>55</v>
      </c>
      <c r="N43">
        <f>60*2</f>
        <v>120</v>
      </c>
      <c r="Q43" s="13"/>
    </row>
    <row r="44" spans="1:22" x14ac:dyDescent="0.2">
      <c r="A44" s="12"/>
      <c r="B44" s="5" t="s">
        <v>38</v>
      </c>
      <c r="C44" s="6">
        <v>82</v>
      </c>
      <c r="D44" s="5" t="s">
        <v>39</v>
      </c>
      <c r="E44" s="6">
        <v>41</v>
      </c>
      <c r="F44" s="5"/>
      <c r="G44" s="6"/>
      <c r="H44" s="5" t="s">
        <v>41</v>
      </c>
      <c r="I44">
        <v>100</v>
      </c>
      <c r="J44" t="s">
        <v>50</v>
      </c>
      <c r="K44">
        <v>120</v>
      </c>
      <c r="L44" s="14" t="s">
        <v>53</v>
      </c>
      <c r="M44">
        <v>55</v>
      </c>
      <c r="N44">
        <f>60*2</f>
        <v>120</v>
      </c>
      <c r="Q44" s="13"/>
    </row>
    <row r="45" spans="1:22" x14ac:dyDescent="0.2">
      <c r="A45" s="12"/>
      <c r="B45" s="5" t="s">
        <v>43</v>
      </c>
      <c r="C45" s="6">
        <v>60</v>
      </c>
      <c r="D45" s="5" t="s">
        <v>44</v>
      </c>
      <c r="E45" s="6">
        <v>120</v>
      </c>
      <c r="F45" s="5"/>
      <c r="G45" s="6"/>
      <c r="H45" s="5" t="s">
        <v>42</v>
      </c>
      <c r="I45">
        <v>100</v>
      </c>
      <c r="J45" t="s">
        <v>50</v>
      </c>
      <c r="K45">
        <v>120</v>
      </c>
      <c r="L45" s="14" t="s">
        <v>53</v>
      </c>
      <c r="M45">
        <v>200</v>
      </c>
      <c r="N45">
        <f>60*12</f>
        <v>720</v>
      </c>
      <c r="Q45" s="13"/>
    </row>
    <row r="46" spans="1:22" x14ac:dyDescent="0.2">
      <c r="A46" s="12"/>
      <c r="B46" s="5" t="s">
        <v>46</v>
      </c>
      <c r="C46" s="6">
        <v>57.4</v>
      </c>
      <c r="D46" s="5" t="s">
        <v>44</v>
      </c>
      <c r="E46" s="6">
        <v>57.4</v>
      </c>
      <c r="F46" s="5" t="s">
        <v>34</v>
      </c>
      <c r="G46" s="6">
        <v>8.68</v>
      </c>
      <c r="H46" s="5" t="s">
        <v>45</v>
      </c>
      <c r="I46">
        <v>100</v>
      </c>
      <c r="J46" t="s">
        <v>50</v>
      </c>
      <c r="K46">
        <v>100</v>
      </c>
      <c r="L46" s="14" t="s">
        <v>53</v>
      </c>
      <c r="M46">
        <v>55</v>
      </c>
      <c r="N46">
        <f>60*12</f>
        <v>720</v>
      </c>
      <c r="Q46" s="13"/>
    </row>
    <row r="47" spans="1:22" s="20" customFormat="1" x14ac:dyDescent="0.2">
      <c r="J47" s="25"/>
      <c r="K47" s="25"/>
      <c r="R47" s="18"/>
      <c r="S47" s="18"/>
      <c r="T47" s="18"/>
      <c r="U47" s="18"/>
      <c r="V47" s="18"/>
    </row>
    <row r="48" spans="1:22" s="20" customFormat="1" x14ac:dyDescent="0.2">
      <c r="L48" s="25"/>
      <c r="M48" s="25"/>
      <c r="Q48" s="18"/>
      <c r="R48" s="18"/>
      <c r="S48" s="18"/>
      <c r="T48" s="18"/>
      <c r="U48" s="18"/>
      <c r="V48" s="18"/>
    </row>
    <row r="49" spans="12:22" s="20" customFormat="1" x14ac:dyDescent="0.2">
      <c r="L49" s="25"/>
      <c r="M49" s="25"/>
      <c r="Q49" s="18"/>
      <c r="R49" s="18"/>
      <c r="S49" s="18"/>
      <c r="T49" s="18"/>
      <c r="U49" s="18"/>
      <c r="V49" s="18"/>
    </row>
    <row r="50" spans="12:22" s="20" customFormat="1" x14ac:dyDescent="0.2">
      <c r="L50" s="25"/>
      <c r="M50" s="25"/>
      <c r="Q50" s="18"/>
      <c r="R50" s="18"/>
      <c r="S50" s="18"/>
      <c r="T50" s="18"/>
      <c r="U50" s="18"/>
      <c r="V50" s="18"/>
    </row>
    <row r="51" spans="12:22" s="20" customFormat="1" x14ac:dyDescent="0.2">
      <c r="L51" s="25"/>
      <c r="M51" s="25"/>
      <c r="Q51" s="18"/>
      <c r="R51" s="18"/>
      <c r="S51" s="18"/>
      <c r="T51" s="18"/>
      <c r="U51" s="18"/>
      <c r="V51" s="18"/>
    </row>
    <row r="52" spans="12:22" s="20" customFormat="1" x14ac:dyDescent="0.2">
      <c r="L52" s="25"/>
      <c r="M52" s="25"/>
      <c r="Q52" s="18"/>
      <c r="R52" s="18"/>
      <c r="S52" s="18"/>
      <c r="T52" s="18"/>
      <c r="U52" s="18"/>
      <c r="V52" s="18"/>
    </row>
    <row r="53" spans="12:22" s="20" customFormat="1" x14ac:dyDescent="0.2">
      <c r="L53" s="25"/>
      <c r="M53" s="25"/>
      <c r="Q53" s="18"/>
      <c r="R53" s="18"/>
      <c r="S53" s="18"/>
      <c r="T53" s="18"/>
      <c r="U53" s="18"/>
      <c r="V53" s="18"/>
    </row>
    <row r="54" spans="12:22" s="20" customFormat="1" x14ac:dyDescent="0.2">
      <c r="L54" s="25"/>
      <c r="M54" s="25"/>
      <c r="Q54" s="18"/>
      <c r="R54" s="18"/>
      <c r="S54" s="18"/>
      <c r="T54" s="18"/>
      <c r="U54" s="18"/>
      <c r="V54" s="18"/>
    </row>
    <row r="55" spans="12:22" s="20" customFormat="1" x14ac:dyDescent="0.2">
      <c r="L55" s="25"/>
      <c r="M55" s="25"/>
      <c r="Q55" s="18"/>
      <c r="R55" s="18"/>
      <c r="S55" s="18"/>
      <c r="T55" s="18"/>
      <c r="U55" s="18"/>
      <c r="V55" s="18"/>
    </row>
    <row r="56" spans="12:22" s="20" customFormat="1" x14ac:dyDescent="0.2">
      <c r="L56" s="25"/>
      <c r="M56" s="25"/>
      <c r="Q56" s="18"/>
      <c r="R56" s="18"/>
      <c r="S56" s="18"/>
      <c r="T56" s="18"/>
      <c r="U56" s="18"/>
      <c r="V56" s="18"/>
    </row>
    <row r="57" spans="12:22" s="20" customFormat="1" x14ac:dyDescent="0.2">
      <c r="L57" s="25"/>
      <c r="M57" s="25"/>
      <c r="Q57" s="18"/>
      <c r="R57" s="18"/>
      <c r="S57" s="18"/>
      <c r="T57" s="18"/>
      <c r="U57" s="18"/>
      <c r="V57" s="18"/>
    </row>
    <row r="58" spans="12:22" s="20" customFormat="1" x14ac:dyDescent="0.2">
      <c r="L58" s="25"/>
      <c r="M58" s="25"/>
      <c r="O58" s="26"/>
      <c r="Q58" s="18"/>
      <c r="R58" s="18"/>
      <c r="S58" s="18"/>
      <c r="T58" s="18"/>
      <c r="U58" s="18"/>
      <c r="V58" s="18"/>
    </row>
    <row r="59" spans="12:22" s="20" customFormat="1" x14ac:dyDescent="0.2">
      <c r="L59" s="25"/>
      <c r="M59" s="25"/>
      <c r="O59" s="26"/>
      <c r="Q59" s="18"/>
      <c r="R59" s="18"/>
      <c r="S59" s="18"/>
      <c r="T59" s="18"/>
      <c r="U59" s="18"/>
      <c r="V59" s="18"/>
    </row>
    <row r="60" spans="12:22" s="20" customFormat="1" x14ac:dyDescent="0.2">
      <c r="L60" s="25"/>
      <c r="M60" s="25"/>
      <c r="O60" s="26"/>
      <c r="Q60" s="18"/>
      <c r="R60" s="18"/>
      <c r="S60" s="18"/>
      <c r="T60" s="18"/>
      <c r="U60" s="18"/>
      <c r="V60" s="18"/>
    </row>
    <row r="61" spans="12:22" s="20" customFormat="1" x14ac:dyDescent="0.2">
      <c r="L61" s="25"/>
      <c r="M61" s="25"/>
      <c r="O61" s="26"/>
      <c r="Q61" s="18"/>
      <c r="R61" s="18"/>
      <c r="S61" s="18"/>
      <c r="T61" s="18"/>
      <c r="U61" s="18"/>
      <c r="V61" s="18"/>
    </row>
    <row r="62" spans="12:22" s="20" customFormat="1" x14ac:dyDescent="0.2">
      <c r="L62" s="25"/>
      <c r="M62" s="25"/>
      <c r="O62" s="26"/>
      <c r="Q62" s="18"/>
      <c r="R62" s="18"/>
      <c r="S62" s="18"/>
      <c r="T62" s="18"/>
      <c r="U62" s="18"/>
      <c r="V62" s="18"/>
    </row>
    <row r="63" spans="12:22" s="20" customFormat="1" x14ac:dyDescent="0.2">
      <c r="L63" s="25"/>
      <c r="M63" s="25"/>
      <c r="O63" s="26"/>
      <c r="Q63" s="18"/>
      <c r="R63" s="18"/>
      <c r="S63" s="18"/>
      <c r="T63" s="18"/>
      <c r="U63" s="18"/>
      <c r="V63" s="18"/>
    </row>
    <row r="64" spans="12:22" s="20" customFormat="1" x14ac:dyDescent="0.2">
      <c r="L64" s="25"/>
      <c r="M64" s="25"/>
      <c r="O64" s="26"/>
      <c r="Q64" s="18"/>
      <c r="R64" s="18"/>
      <c r="S64" s="18"/>
      <c r="T64" s="18"/>
      <c r="U64" s="18"/>
      <c r="V64" s="18"/>
    </row>
    <row r="65" spans="17:22" s="20" customFormat="1" x14ac:dyDescent="0.2">
      <c r="Q65" s="18"/>
      <c r="R65" s="18"/>
      <c r="S65" s="18"/>
      <c r="T65" s="18"/>
      <c r="U65" s="18"/>
      <c r="V65" s="18"/>
    </row>
    <row r="66" spans="17:22" s="20" customFormat="1" x14ac:dyDescent="0.2">
      <c r="Q66" s="18"/>
      <c r="R66" s="18"/>
      <c r="S66" s="18"/>
      <c r="T66" s="18"/>
      <c r="U66" s="18"/>
      <c r="V66" s="18"/>
    </row>
    <row r="67" spans="17:22" s="20" customFormat="1" x14ac:dyDescent="0.2">
      <c r="Q67" s="18"/>
      <c r="R67" s="18"/>
      <c r="S67" s="18"/>
      <c r="T67" s="18"/>
      <c r="U67" s="18"/>
      <c r="V67" s="18"/>
    </row>
    <row r="68" spans="17:22" s="20" customFormat="1" x14ac:dyDescent="0.2">
      <c r="Q68" s="18"/>
      <c r="R68" s="18"/>
      <c r="S68" s="18"/>
      <c r="T68" s="18"/>
      <c r="U68" s="18"/>
      <c r="V68" s="18"/>
    </row>
    <row r="69" spans="17:22" s="20" customFormat="1" x14ac:dyDescent="0.2">
      <c r="Q69" s="18"/>
      <c r="R69" s="18"/>
      <c r="S69" s="18"/>
      <c r="T69" s="18"/>
      <c r="U69" s="18"/>
      <c r="V69" s="18"/>
    </row>
    <row r="70" spans="17:22" s="20" customFormat="1" x14ac:dyDescent="0.2">
      <c r="Q70" s="18"/>
      <c r="R70" s="18"/>
      <c r="S70" s="18"/>
      <c r="T70" s="18"/>
      <c r="U70" s="18"/>
      <c r="V70" s="18"/>
    </row>
    <row r="71" spans="17:22" s="20" customFormat="1" x14ac:dyDescent="0.2">
      <c r="Q71" s="18"/>
      <c r="R71" s="18"/>
      <c r="S71" s="18"/>
      <c r="T71" s="18"/>
      <c r="U71" s="18"/>
      <c r="V71" s="18"/>
    </row>
    <row r="72" spans="17:22" s="20" customFormat="1" x14ac:dyDescent="0.2">
      <c r="Q72" s="18"/>
      <c r="R72" s="18"/>
      <c r="S72" s="18"/>
      <c r="T72" s="18"/>
      <c r="U72" s="18"/>
      <c r="V72" s="18"/>
    </row>
    <row r="73" spans="17:22" s="20" customFormat="1" x14ac:dyDescent="0.2">
      <c r="Q73" s="18"/>
      <c r="R73" s="18"/>
      <c r="S73" s="18"/>
      <c r="T73" s="18"/>
      <c r="U73" s="18"/>
      <c r="V73" s="18"/>
    </row>
    <row r="74" spans="17:22" s="20" customFormat="1" x14ac:dyDescent="0.2">
      <c r="Q74" s="18"/>
      <c r="R74" s="18"/>
      <c r="S74" s="18"/>
      <c r="T74" s="18"/>
      <c r="U74" s="18"/>
      <c r="V74" s="18"/>
    </row>
    <row r="75" spans="17:22" s="20" customFormat="1" x14ac:dyDescent="0.2">
      <c r="Q75" s="18"/>
      <c r="R75" s="18"/>
      <c r="S75" s="18"/>
      <c r="T75" s="18"/>
      <c r="U75" s="18"/>
      <c r="V75" s="18"/>
    </row>
    <row r="76" spans="17:22" s="20" customFormat="1" x14ac:dyDescent="0.2">
      <c r="Q76" s="18"/>
      <c r="R76" s="18"/>
      <c r="S76" s="18"/>
      <c r="T76" s="18"/>
      <c r="U76" s="18"/>
      <c r="V76" s="18"/>
    </row>
    <row r="77" spans="17:22" s="20" customFormat="1" x14ac:dyDescent="0.2">
      <c r="Q77" s="18"/>
      <c r="R77" s="18"/>
      <c r="S77" s="18"/>
      <c r="T77" s="18"/>
      <c r="U77" s="18"/>
      <c r="V77" s="18"/>
    </row>
    <row r="78" spans="17:22" s="20" customFormat="1" x14ac:dyDescent="0.2">
      <c r="Q78" s="18"/>
      <c r="R78" s="18"/>
      <c r="S78" s="18"/>
      <c r="T78" s="18"/>
      <c r="U78" s="18"/>
      <c r="V78" s="18"/>
    </row>
    <row r="79" spans="17:22" s="20" customFormat="1" x14ac:dyDescent="0.2">
      <c r="Q79" s="18"/>
      <c r="R79" s="18"/>
      <c r="S79" s="18"/>
      <c r="T79" s="18"/>
      <c r="U79" s="18"/>
      <c r="V79" s="18"/>
    </row>
    <row r="80" spans="17:22" s="20" customFormat="1" x14ac:dyDescent="0.2">
      <c r="Q80" s="18"/>
      <c r="R80" s="18"/>
      <c r="S80" s="18"/>
      <c r="T80" s="18"/>
      <c r="U80" s="18"/>
      <c r="V80" s="18"/>
    </row>
    <row r="81" spans="17:22" s="20" customFormat="1" x14ac:dyDescent="0.2">
      <c r="Q81" s="18"/>
      <c r="R81" s="18"/>
      <c r="S81" s="18"/>
      <c r="T81" s="18"/>
      <c r="U81" s="18"/>
      <c r="V81" s="18"/>
    </row>
    <row r="82" spans="17:22" s="20" customFormat="1" x14ac:dyDescent="0.2">
      <c r="Q82" s="18"/>
      <c r="R82" s="18"/>
      <c r="S82" s="18"/>
      <c r="T82" s="18"/>
      <c r="U82" s="18"/>
      <c r="V82" s="18"/>
    </row>
    <row r="83" spans="17:22" s="20" customFormat="1" x14ac:dyDescent="0.2">
      <c r="Q83" s="18"/>
      <c r="R83" s="18"/>
      <c r="S83" s="18"/>
      <c r="T83" s="18"/>
      <c r="U83" s="18"/>
      <c r="V83" s="18"/>
    </row>
    <row r="84" spans="17:22" s="20" customFormat="1" x14ac:dyDescent="0.2">
      <c r="Q84" s="18"/>
      <c r="R84" s="18"/>
      <c r="S84" s="18"/>
      <c r="T84" s="18"/>
      <c r="U84" s="18"/>
      <c r="V84" s="18"/>
    </row>
    <row r="85" spans="17:22" s="20" customFormat="1" x14ac:dyDescent="0.2">
      <c r="Q85" s="18"/>
      <c r="R85" s="18"/>
      <c r="S85" s="18"/>
      <c r="T85" s="18"/>
      <c r="U85" s="18"/>
      <c r="V85" s="18"/>
    </row>
    <row r="86" spans="17:22" s="20" customFormat="1" x14ac:dyDescent="0.2">
      <c r="Q86" s="18"/>
      <c r="R86" s="18"/>
      <c r="S86" s="18"/>
      <c r="T86" s="18"/>
      <c r="U86" s="18"/>
      <c r="V86" s="18"/>
    </row>
    <row r="87" spans="17:22" s="20" customFormat="1" x14ac:dyDescent="0.2">
      <c r="Q87" s="18"/>
      <c r="R87" s="18"/>
      <c r="S87" s="18"/>
      <c r="T87" s="18"/>
      <c r="U87" s="18"/>
      <c r="V87" s="18"/>
    </row>
    <row r="88" spans="17:22" s="20" customFormat="1" x14ac:dyDescent="0.2">
      <c r="Q88" s="18"/>
      <c r="R88" s="18"/>
      <c r="S88" s="18"/>
      <c r="T88" s="18"/>
      <c r="U88" s="18"/>
      <c r="V88" s="18"/>
    </row>
    <row r="89" spans="17:22" s="20" customFormat="1" x14ac:dyDescent="0.2">
      <c r="Q89" s="18"/>
      <c r="R89" s="18"/>
      <c r="S89" s="18"/>
      <c r="T89" s="18"/>
      <c r="U89" s="18"/>
      <c r="V89" s="18"/>
    </row>
    <row r="90" spans="17:22" s="20" customFormat="1" x14ac:dyDescent="0.2">
      <c r="Q90" s="18"/>
      <c r="R90" s="18"/>
      <c r="S90" s="18"/>
      <c r="T90" s="18"/>
      <c r="U90" s="18"/>
      <c r="V90" s="18"/>
    </row>
    <row r="91" spans="17:22" s="20" customFormat="1" x14ac:dyDescent="0.2">
      <c r="Q91" s="18"/>
      <c r="R91" s="18"/>
      <c r="S91" s="18"/>
      <c r="T91" s="18"/>
      <c r="U91" s="18"/>
      <c r="V91" s="18"/>
    </row>
    <row r="92" spans="17:22" s="20" customFormat="1" x14ac:dyDescent="0.2">
      <c r="Q92" s="18"/>
      <c r="R92" s="18"/>
      <c r="S92" s="18"/>
      <c r="T92" s="18"/>
      <c r="U92" s="18"/>
      <c r="V92" s="18"/>
    </row>
    <row r="93" spans="17:22" s="20" customFormat="1" x14ac:dyDescent="0.2">
      <c r="Q93" s="18"/>
      <c r="R93" s="18"/>
      <c r="S93" s="18"/>
      <c r="T93" s="18"/>
      <c r="U93" s="18"/>
      <c r="V93" s="18"/>
    </row>
    <row r="94" spans="17:22" s="20" customFormat="1" x14ac:dyDescent="0.2">
      <c r="Q94" s="18"/>
      <c r="R94" s="18"/>
      <c r="S94" s="18"/>
      <c r="T94" s="18"/>
      <c r="U94" s="18"/>
      <c r="V94" s="18"/>
    </row>
    <row r="95" spans="17:22" s="20" customFormat="1" x14ac:dyDescent="0.2">
      <c r="Q95" s="18"/>
      <c r="R95" s="18"/>
      <c r="S95" s="18"/>
      <c r="T95" s="18"/>
      <c r="U95" s="18"/>
      <c r="V95" s="1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2025-09-22T21:08:16Z</dcterms:modified>
</cp:coreProperties>
</file>