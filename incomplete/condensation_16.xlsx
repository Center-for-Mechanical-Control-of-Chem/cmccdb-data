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haronho/Library/CloudStorage/GoogleDrive-yeushiuanho@tamu.edu/その他のパソコン/My iMac/Research/database/"/>
    </mc:Choice>
  </mc:AlternateContent>
  <xr:revisionPtr revIDLastSave="0" documentId="13_ncr:1_{0A23D344-6360-6B4C-A568-87967972F8B4}" xr6:coauthVersionLast="47" xr6:coauthVersionMax="47" xr10:uidLastSave="{00000000-0000-0000-0000-000000000000}"/>
  <bookViews>
    <workbookView xWindow="0" yWindow="680" windowWidth="23260" windowHeight="15000" xr2:uid="{67C290E4-36C7-6141-BA54-B171370FD48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5" i="1" l="1"/>
  <c r="S34" i="1"/>
  <c r="S33" i="1"/>
  <c r="S32" i="1"/>
  <c r="S31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S16" i="1"/>
  <c r="S15" i="1"/>
  <c r="S14" i="1"/>
  <c r="S13" i="1"/>
  <c r="S12" i="1"/>
  <c r="S11" i="1"/>
  <c r="S10" i="1"/>
</calcChain>
</file>

<file path=xl/sharedStrings.xml><?xml version="1.0" encoding="utf-8"?>
<sst xmlns="http://schemas.openxmlformats.org/spreadsheetml/2006/main" count="173" uniqueCount="54">
  <si>
    <t>REACTION</t>
  </si>
  <si>
    <t>MECHANOCHEMISTRY</t>
  </si>
  <si>
    <t>EXPERIMENTER</t>
  </si>
  <si>
    <t>Reaction Type</t>
  </si>
  <si>
    <t>Type</t>
  </si>
  <si>
    <t>Organization</t>
  </si>
  <si>
    <t>VARIANTS</t>
  </si>
  <si>
    <t>REACTANT</t>
  </si>
  <si>
    <t>PRODUCT</t>
  </si>
  <si>
    <t>SMILES</t>
  </si>
  <si>
    <t>DATA</t>
  </si>
  <si>
    <t>Publication URL</t>
  </si>
  <si>
    <t>Duration (s)</t>
  </si>
  <si>
    <t>Amount (millimole)</t>
  </si>
  <si>
    <t>DOI</t>
  </si>
  <si>
    <t>City</t>
  </si>
  <si>
    <t>Material</t>
  </si>
  <si>
    <t>Condensation</t>
  </si>
  <si>
    <t>School of Chemistry and Chemical Engineering, Queen’s University</t>
  </si>
  <si>
    <t>Belfast</t>
  </si>
  <si>
    <t>10.1039/c6gc03413f</t>
  </si>
  <si>
    <t>https://pubs.rsc.org/en/content/articlelanding/2017/gc/c6gc03413f</t>
  </si>
  <si>
    <t>Screw rate (RPM)</t>
  </si>
  <si>
    <t>Frequency (Hz)</t>
  </si>
  <si>
    <t>Feed rate (kg⋅hr-1)</t>
  </si>
  <si>
    <t>Temperature (℃)</t>
  </si>
  <si>
    <t>Conversion (%)</t>
  </si>
  <si>
    <t>Space Time Yield (kg⋅m-3⋅day-1)</t>
  </si>
  <si>
    <t>OC1=CC=C(C=O)C=C1OC</t>
  </si>
  <si>
    <t>O=C(NC1=O)NC(C1)=O</t>
  </si>
  <si>
    <t>SOLVENT</t>
  </si>
  <si>
    <t>O</t>
  </si>
  <si>
    <t>COc1c(O)ccc(/C=C2C(NC(NC\2=O)=O)=O)c1</t>
  </si>
  <si>
    <t>Ball Mill</t>
  </si>
  <si>
    <t>Stainless Steel</t>
  </si>
  <si>
    <t>COC1=CC(C=O)=CC=C1OC</t>
  </si>
  <si>
    <t>COc1c(OC)cc(/C=C2C(NC(NC\2=O)=O)=O)cc1</t>
  </si>
  <si>
    <t>OC1=C(Br)C=C(C=O)C=C1OC</t>
  </si>
  <si>
    <t>COc1c(O)c(Br)cc(/C=C2C(NC(NC\2=O)=O)=O)c1</t>
  </si>
  <si>
    <t>Twin Screw Exdruder</t>
  </si>
  <si>
    <t>N#CCC#N</t>
  </si>
  <si>
    <t>[O-]C([O-])=O.[Na+]</t>
  </si>
  <si>
    <t>COc1c(O)ccc(/C=C(C#N)/C#N)c1</t>
  </si>
  <si>
    <t>CCOC(CC#N)=O</t>
  </si>
  <si>
    <t>CCOC(/C(C#N)=C/c1cc(OC)c(O)cc1)=O</t>
  </si>
  <si>
    <t>OC1=C(OC)C=CC=C1C=O</t>
  </si>
  <si>
    <t>NC1=CC=C(C=C1)OC2=CC=C(N)C=C2</t>
  </si>
  <si>
    <t>OC</t>
  </si>
  <si>
    <t>COc1c(O)c(/C=N/c2ccc(Oc3ccc(/N=C/c4c(O)c(OC)ccc4)cc3)cc2)ccc1</t>
  </si>
  <si>
    <t>COc1c(OC)cc(C(C2=C(CC(C)(CC2=O)C)O)C3=C(CC(C)(CC3=O)C)O)cc1</t>
  </si>
  <si>
    <t>[H]C(c1cc(OC)c(OC)cc1)=O</t>
  </si>
  <si>
    <t>CC1(CC(CC(C1)=O)=O)C</t>
  </si>
  <si>
    <t>CC1(CC(C(C(C1)=O)C2(C(c3c(C2=O)cccc3)=O)O)=O)C</t>
  </si>
  <si>
    <t>O=C1c2c(C(C1(O)O)=O)cccc2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</si>
</sst>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8"/>
      <color rgb="FF000000"/>
      <name val="Helvetica"/>
      <family val="2"/>
    </font>
    <font>
      <sz val="12"/>
      <color rgb="FF000000"/>
      <name val="Times New Roman"/>
      <family val="1"/>
    </font>
    <font>
      <sz val="8"/>
      <name val="Aptos Narrow"/>
      <family val="2"/>
      <scheme val="minor"/>
    </font>
    <font>
      <sz val="7"/>
      <color rgb="FF141413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9" xfId="0" applyBorder="1"/>
    <xf numFmtId="0" fontId="0" fillId="0" borderId="10" xfId="0" applyBorder="1"/>
    <xf numFmtId="0" fontId="0" fillId="2" borderId="2" xfId="0" applyFill="1" applyBorder="1"/>
    <xf numFmtId="0" fontId="0" fillId="2" borderId="7" xfId="0" applyFill="1" applyBorder="1"/>
    <xf numFmtId="0" fontId="0" fillId="2" borderId="8" xfId="0" applyFill="1" applyBorder="1"/>
    <xf numFmtId="0" fontId="0" fillId="0" borderId="11" xfId="0" applyBorder="1"/>
    <xf numFmtId="0" fontId="0" fillId="0" borderId="12" xfId="0" applyBorder="1"/>
    <xf numFmtId="0" fontId="0" fillId="3" borderId="0" xfId="0" applyFill="1"/>
    <xf numFmtId="0" fontId="0" fillId="0" borderId="13" xfId="0" applyBorder="1"/>
    <xf numFmtId="0" fontId="2" fillId="0" borderId="0" xfId="0" applyFont="1"/>
    <xf numFmtId="0" fontId="3" fillId="0" borderId="0" xfId="0" applyFont="1"/>
    <xf numFmtId="0" fontId="1" fillId="0" borderId="0" xfId="0" applyFont="1"/>
    <xf numFmtId="0" fontId="5" fillId="0" borderId="0" xfId="0" applyFont="1"/>
    <xf numFmtId="0" fontId="1" fillId="0" borderId="6" xfId="0" applyFont="1" applyBorder="1"/>
    <xf numFmtId="0" fontId="0" fillId="0" borderId="14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A012-DC9A-214C-8A2F-E48641012DAD}">
  <dimension ref="A2:S89"/>
  <sheetViews>
    <sheetView tabSelected="1" topLeftCell="A2" workbookViewId="0">
      <selection activeCell="H8" sqref="H8"/>
    </sheetView>
  </sheetViews>
  <sheetFormatPr baseColWidth="10" defaultColWidth="11.1640625" defaultRowHeight="16" x14ac:dyDescent="0.2"/>
  <cols>
    <col min="2" max="2" width="19.83203125" bestFit="1" customWidth="1"/>
    <col min="3" max="3" width="19.33203125" bestFit="1" customWidth="1"/>
    <col min="4" max="4" width="18.1640625" customWidth="1"/>
    <col min="5" max="5" width="16.6640625" customWidth="1"/>
    <col min="6" max="7" width="13.5" bestFit="1" customWidth="1"/>
    <col min="9" max="9" width="13.5" bestFit="1" customWidth="1"/>
    <col min="11" max="11" width="13" bestFit="1" customWidth="1"/>
  </cols>
  <sheetData>
    <row r="2" spans="1:19" s="9" customFormat="1" x14ac:dyDescent="0.2">
      <c r="A2" s="9" t="s">
        <v>0</v>
      </c>
    </row>
    <row r="3" spans="1:19" ht="15" customHeight="1" x14ac:dyDescent="0.2">
      <c r="A3" s="14"/>
      <c r="B3" s="12" t="s">
        <v>3</v>
      </c>
      <c r="C3" t="s">
        <v>2</v>
      </c>
      <c r="D3" t="s">
        <v>15</v>
      </c>
      <c r="E3" t="s">
        <v>14</v>
      </c>
      <c r="F3" s="12" t="s">
        <v>11</v>
      </c>
    </row>
    <row r="4" spans="1:19" ht="15" customHeight="1" x14ac:dyDescent="0.2">
      <c r="A4" s="14"/>
      <c r="B4" s="13" t="s">
        <v>17</v>
      </c>
      <c r="C4" t="s">
        <v>5</v>
      </c>
      <c r="E4" s="19" t="s">
        <v>20</v>
      </c>
      <c r="F4" s="13" t="s">
        <v>21</v>
      </c>
    </row>
    <row r="5" spans="1:19" s="2" customFormat="1" x14ac:dyDescent="0.2">
      <c r="A5" s="14"/>
      <c r="B5" s="15"/>
      <c r="C5" s="19" t="s">
        <v>18</v>
      </c>
      <c r="D5" s="19" t="s">
        <v>19</v>
      </c>
      <c r="E5" s="19"/>
      <c r="F5" s="15"/>
      <c r="G5"/>
      <c r="H5"/>
      <c r="I5"/>
      <c r="J5"/>
      <c r="K5"/>
      <c r="L5"/>
      <c r="M5"/>
      <c r="N5"/>
      <c r="O5"/>
      <c r="P5"/>
      <c r="Q5"/>
    </row>
    <row r="6" spans="1:19" s="9" customFormat="1" x14ac:dyDescent="0.2">
      <c r="A6" s="9" t="s">
        <v>6</v>
      </c>
      <c r="C6" s="16"/>
    </row>
    <row r="7" spans="1:19" x14ac:dyDescent="0.2">
      <c r="A7" s="14"/>
      <c r="B7" s="3" t="s">
        <v>7</v>
      </c>
      <c r="C7" s="4"/>
      <c r="D7" s="3" t="s">
        <v>7</v>
      </c>
      <c r="E7" s="4"/>
      <c r="F7" s="3" t="s">
        <v>30</v>
      </c>
      <c r="G7" s="4"/>
      <c r="H7" s="3" t="s">
        <v>7</v>
      </c>
      <c r="I7" s="4"/>
      <c r="J7" s="3" t="s">
        <v>8</v>
      </c>
      <c r="K7" s="1"/>
      <c r="L7" s="4"/>
      <c r="M7" s="3" t="s">
        <v>1</v>
      </c>
      <c r="N7" s="1"/>
      <c r="O7" s="1"/>
      <c r="P7" s="1"/>
      <c r="Q7" s="1"/>
      <c r="R7" s="1"/>
      <c r="S7" s="4"/>
    </row>
    <row r="8" spans="1:19" x14ac:dyDescent="0.2">
      <c r="A8" s="14"/>
      <c r="B8" s="5" t="s">
        <v>9</v>
      </c>
      <c r="C8" s="6" t="s">
        <v>13</v>
      </c>
      <c r="D8" s="5" t="s">
        <v>9</v>
      </c>
      <c r="E8" s="6" t="s">
        <v>13</v>
      </c>
      <c r="F8" s="5" t="s">
        <v>9</v>
      </c>
      <c r="G8" s="6" t="s">
        <v>13</v>
      </c>
      <c r="H8" s="5" t="s">
        <v>9</v>
      </c>
      <c r="I8" s="6" t="s">
        <v>13</v>
      </c>
      <c r="J8" s="5" t="s">
        <v>9</v>
      </c>
      <c r="K8" s="20" t="s">
        <v>26</v>
      </c>
      <c r="L8" s="18" t="s">
        <v>27</v>
      </c>
      <c r="M8" s="5" t="s">
        <v>4</v>
      </c>
      <c r="N8" t="s">
        <v>23</v>
      </c>
      <c r="O8" t="s">
        <v>22</v>
      </c>
      <c r="P8" s="18" t="s">
        <v>16</v>
      </c>
      <c r="Q8" s="18" t="s">
        <v>24</v>
      </c>
      <c r="R8" s="18" t="s">
        <v>25</v>
      </c>
      <c r="S8" s="6" t="s">
        <v>12</v>
      </c>
    </row>
    <row r="9" spans="1:19" s="9" customFormat="1" x14ac:dyDescent="0.2">
      <c r="A9" s="9" t="s">
        <v>10</v>
      </c>
      <c r="B9" s="10"/>
      <c r="C9" s="11"/>
      <c r="D9" s="10"/>
      <c r="E9" s="11"/>
      <c r="F9" s="10"/>
      <c r="G9" s="11"/>
      <c r="H9" s="10"/>
      <c r="I9" s="11"/>
      <c r="J9" s="10"/>
      <c r="L9" s="11"/>
      <c r="M9" s="10"/>
      <c r="S9" s="11"/>
    </row>
    <row r="10" spans="1:19" x14ac:dyDescent="0.2">
      <c r="A10" s="14"/>
      <c r="B10" s="5" t="s">
        <v>28</v>
      </c>
      <c r="C10" s="6">
        <v>1.9</v>
      </c>
      <c r="D10" s="5" t="s">
        <v>29</v>
      </c>
      <c r="E10" s="6">
        <v>1.9</v>
      </c>
      <c r="F10" s="5" t="s">
        <v>31</v>
      </c>
      <c r="G10">
        <v>0.69399999999999995</v>
      </c>
      <c r="H10" s="5"/>
      <c r="I10" s="6"/>
      <c r="J10" s="5" t="s">
        <v>32</v>
      </c>
      <c r="K10">
        <v>66.59</v>
      </c>
      <c r="L10" s="6"/>
      <c r="M10" s="17" t="s">
        <v>33</v>
      </c>
      <c r="N10" s="17">
        <v>25</v>
      </c>
      <c r="P10" s="6" t="s">
        <v>34</v>
      </c>
      <c r="S10">
        <f>60*30</f>
        <v>1800</v>
      </c>
    </row>
    <row r="11" spans="1:19" x14ac:dyDescent="0.2">
      <c r="A11" s="14"/>
      <c r="B11" s="5" t="s">
        <v>28</v>
      </c>
      <c r="C11" s="6">
        <v>1.9</v>
      </c>
      <c r="D11" s="5" t="s">
        <v>29</v>
      </c>
      <c r="E11" s="6">
        <v>1.9</v>
      </c>
      <c r="F11" s="5" t="s">
        <v>31</v>
      </c>
      <c r="G11">
        <v>0.69399999999999995</v>
      </c>
      <c r="H11" s="5"/>
      <c r="I11" s="6"/>
      <c r="J11" s="5" t="s">
        <v>32</v>
      </c>
      <c r="K11">
        <v>99.29</v>
      </c>
      <c r="L11" s="6"/>
      <c r="M11" s="17" t="s">
        <v>33</v>
      </c>
      <c r="N11" s="17">
        <v>25</v>
      </c>
      <c r="P11" s="6" t="s">
        <v>34</v>
      </c>
      <c r="S11">
        <f>60*60</f>
        <v>3600</v>
      </c>
    </row>
    <row r="12" spans="1:19" x14ac:dyDescent="0.2">
      <c r="A12" s="14"/>
      <c r="B12" s="5" t="s">
        <v>35</v>
      </c>
      <c r="C12" s="6">
        <v>1.9</v>
      </c>
      <c r="D12" s="5" t="s">
        <v>29</v>
      </c>
      <c r="E12" s="6">
        <v>1.9</v>
      </c>
      <c r="F12" s="5" t="s">
        <v>31</v>
      </c>
      <c r="G12">
        <v>0.69399999999999995</v>
      </c>
      <c r="H12" s="5"/>
      <c r="I12" s="6"/>
      <c r="J12" s="5" t="s">
        <v>36</v>
      </c>
      <c r="K12">
        <v>12.13</v>
      </c>
      <c r="L12" s="6"/>
      <c r="M12" s="17" t="s">
        <v>33</v>
      </c>
      <c r="N12" s="17">
        <v>25</v>
      </c>
      <c r="P12" s="6" t="s">
        <v>34</v>
      </c>
      <c r="S12">
        <f>60*30</f>
        <v>1800</v>
      </c>
    </row>
    <row r="13" spans="1:19" x14ac:dyDescent="0.2">
      <c r="A13" s="14"/>
      <c r="B13" s="5" t="s">
        <v>35</v>
      </c>
      <c r="C13" s="6">
        <v>1.9</v>
      </c>
      <c r="D13" s="5" t="s">
        <v>29</v>
      </c>
      <c r="E13" s="6">
        <v>1.9</v>
      </c>
      <c r="F13" s="5" t="s">
        <v>31</v>
      </c>
      <c r="G13">
        <v>0.69399999999999995</v>
      </c>
      <c r="H13" s="5"/>
      <c r="I13" s="6"/>
      <c r="J13" s="5" t="s">
        <v>36</v>
      </c>
      <c r="K13">
        <v>90.5</v>
      </c>
      <c r="L13" s="6"/>
      <c r="M13" s="17" t="s">
        <v>33</v>
      </c>
      <c r="N13" s="17">
        <v>25</v>
      </c>
      <c r="P13" s="6" t="s">
        <v>34</v>
      </c>
      <c r="S13">
        <f>60*60</f>
        <v>3600</v>
      </c>
    </row>
    <row r="14" spans="1:19" x14ac:dyDescent="0.2">
      <c r="A14" s="14"/>
      <c r="B14" s="5" t="s">
        <v>35</v>
      </c>
      <c r="C14" s="6">
        <v>1.9</v>
      </c>
      <c r="D14" s="5" t="s">
        <v>29</v>
      </c>
      <c r="E14" s="6">
        <v>1.9</v>
      </c>
      <c r="F14" s="5" t="s">
        <v>31</v>
      </c>
      <c r="G14">
        <v>0.69399999999999995</v>
      </c>
      <c r="H14" s="5"/>
      <c r="I14" s="6"/>
      <c r="J14" s="5" t="s">
        <v>36</v>
      </c>
      <c r="K14">
        <v>98.61</v>
      </c>
      <c r="L14" s="6"/>
      <c r="M14" s="17" t="s">
        <v>33</v>
      </c>
      <c r="N14" s="17">
        <v>25</v>
      </c>
      <c r="P14" s="6" t="s">
        <v>34</v>
      </c>
      <c r="S14">
        <f>60*90</f>
        <v>5400</v>
      </c>
    </row>
    <row r="15" spans="1:19" x14ac:dyDescent="0.2">
      <c r="A15" s="14"/>
      <c r="B15" s="5" t="s">
        <v>37</v>
      </c>
      <c r="C15" s="6">
        <v>1.9</v>
      </c>
      <c r="D15" s="5" t="s">
        <v>29</v>
      </c>
      <c r="E15" s="6">
        <v>1.9</v>
      </c>
      <c r="F15" s="5" t="s">
        <v>31</v>
      </c>
      <c r="G15">
        <v>0.69399999999999995</v>
      </c>
      <c r="H15" s="5"/>
      <c r="I15" s="6"/>
      <c r="J15" s="5" t="s">
        <v>38</v>
      </c>
      <c r="K15">
        <v>54.4</v>
      </c>
      <c r="L15" s="6"/>
      <c r="M15" s="17" t="s">
        <v>33</v>
      </c>
      <c r="N15" s="17">
        <v>25</v>
      </c>
      <c r="P15" s="6" t="s">
        <v>34</v>
      </c>
      <c r="S15">
        <f>60*30</f>
        <v>1800</v>
      </c>
    </row>
    <row r="16" spans="1:19" x14ac:dyDescent="0.2">
      <c r="A16" s="14"/>
      <c r="B16" s="5" t="s">
        <v>37</v>
      </c>
      <c r="C16" s="6">
        <v>1.9</v>
      </c>
      <c r="D16" s="5" t="s">
        <v>29</v>
      </c>
      <c r="E16" s="6">
        <v>1.9</v>
      </c>
      <c r="F16" s="5" t="s">
        <v>31</v>
      </c>
      <c r="G16">
        <v>0.69399999999999995</v>
      </c>
      <c r="H16" s="5"/>
      <c r="I16" s="6"/>
      <c r="J16" s="5" t="s">
        <v>38</v>
      </c>
      <c r="K16">
        <v>76.8</v>
      </c>
      <c r="L16" s="6"/>
      <c r="M16" s="17" t="s">
        <v>33</v>
      </c>
      <c r="N16" s="17">
        <v>25</v>
      </c>
      <c r="P16" s="6" t="s">
        <v>34</v>
      </c>
      <c r="S16">
        <f>60*60</f>
        <v>3600</v>
      </c>
    </row>
    <row r="17" spans="1:19" x14ac:dyDescent="0.2">
      <c r="A17" s="14"/>
      <c r="B17" s="5" t="s">
        <v>37</v>
      </c>
      <c r="C17" s="6">
        <v>1.9</v>
      </c>
      <c r="D17" s="5" t="s">
        <v>29</v>
      </c>
      <c r="E17" s="6">
        <v>1.9</v>
      </c>
      <c r="F17" s="5" t="s">
        <v>31</v>
      </c>
      <c r="G17">
        <v>0.69399999999999995</v>
      </c>
      <c r="H17" s="5"/>
      <c r="I17" s="6"/>
      <c r="J17" s="5" t="s">
        <v>38</v>
      </c>
      <c r="K17">
        <v>77.3</v>
      </c>
      <c r="L17" s="6"/>
      <c r="M17" s="17" t="s">
        <v>33</v>
      </c>
      <c r="N17" s="17">
        <v>25</v>
      </c>
      <c r="P17" s="6" t="s">
        <v>34</v>
      </c>
      <c r="S17">
        <f>60*90</f>
        <v>5400</v>
      </c>
    </row>
    <row r="18" spans="1:19" x14ac:dyDescent="0.2">
      <c r="A18" s="14"/>
      <c r="B18" s="5" t="s">
        <v>28</v>
      </c>
      <c r="D18" s="5" t="s">
        <v>29</v>
      </c>
      <c r="E18" s="6"/>
      <c r="F18" s="5"/>
      <c r="H18" s="5"/>
      <c r="I18" s="6"/>
      <c r="J18" s="5" t="s">
        <v>32</v>
      </c>
      <c r="K18">
        <v>100</v>
      </c>
      <c r="L18" s="6">
        <v>258385</v>
      </c>
      <c r="M18" s="17" t="s">
        <v>39</v>
      </c>
      <c r="N18" s="17"/>
      <c r="O18">
        <v>55</v>
      </c>
      <c r="P18" s="6"/>
      <c r="Q18">
        <v>0.59899999999999998</v>
      </c>
      <c r="R18">
        <v>160</v>
      </c>
      <c r="S18">
        <f>60*2</f>
        <v>120</v>
      </c>
    </row>
    <row r="19" spans="1:19" x14ac:dyDescent="0.2">
      <c r="A19" s="14"/>
      <c r="B19" s="5" t="s">
        <v>35</v>
      </c>
      <c r="D19" s="5" t="s">
        <v>29</v>
      </c>
      <c r="E19" s="6"/>
      <c r="F19" s="5"/>
      <c r="H19" s="5"/>
      <c r="I19" s="6"/>
      <c r="J19" s="5" t="s">
        <v>36</v>
      </c>
      <c r="K19">
        <v>100</v>
      </c>
      <c r="L19" s="6">
        <v>113291</v>
      </c>
      <c r="M19" s="17" t="s">
        <v>39</v>
      </c>
      <c r="N19" s="17"/>
      <c r="O19">
        <v>55</v>
      </c>
      <c r="P19" s="6"/>
      <c r="Q19">
        <v>0.254</v>
      </c>
      <c r="R19">
        <v>160</v>
      </c>
      <c r="S19">
        <f>60*2</f>
        <v>120</v>
      </c>
    </row>
    <row r="20" spans="1:19" x14ac:dyDescent="0.2">
      <c r="A20" s="14"/>
      <c r="B20" s="5" t="s">
        <v>37</v>
      </c>
      <c r="D20" s="5" t="s">
        <v>29</v>
      </c>
      <c r="E20" s="6"/>
      <c r="F20" s="5"/>
      <c r="H20" s="5"/>
      <c r="I20" s="6"/>
      <c r="J20" s="5" t="s">
        <v>38</v>
      </c>
      <c r="K20">
        <v>100</v>
      </c>
      <c r="L20" s="6">
        <v>197942</v>
      </c>
      <c r="M20" s="17" t="s">
        <v>39</v>
      </c>
      <c r="N20" s="17"/>
      <c r="O20">
        <v>55</v>
      </c>
      <c r="P20" s="6"/>
      <c r="Q20">
        <v>0.433</v>
      </c>
      <c r="R20">
        <v>160</v>
      </c>
      <c r="S20">
        <f>60*2</f>
        <v>120</v>
      </c>
    </row>
    <row r="21" spans="1:19" x14ac:dyDescent="0.2">
      <c r="A21" s="14"/>
      <c r="B21" s="5" t="s">
        <v>28</v>
      </c>
      <c r="C21" s="6">
        <v>82</v>
      </c>
      <c r="D21" s="5" t="s">
        <v>40</v>
      </c>
      <c r="E21" s="6">
        <v>82</v>
      </c>
      <c r="F21" s="5"/>
      <c r="H21" s="5" t="s">
        <v>41</v>
      </c>
      <c r="I21" s="6">
        <v>8</v>
      </c>
      <c r="J21" s="5" t="s">
        <v>42</v>
      </c>
      <c r="K21">
        <v>100</v>
      </c>
      <c r="L21" s="6">
        <v>98000</v>
      </c>
      <c r="M21" s="17" t="s">
        <v>39</v>
      </c>
      <c r="N21" s="17"/>
      <c r="O21">
        <v>55</v>
      </c>
      <c r="P21" s="6"/>
      <c r="Q21">
        <v>0.21</v>
      </c>
      <c r="R21">
        <v>120</v>
      </c>
      <c r="S21">
        <f>60*2</f>
        <v>120</v>
      </c>
    </row>
    <row r="22" spans="1:19" x14ac:dyDescent="0.2">
      <c r="A22" s="14"/>
      <c r="B22" s="5" t="s">
        <v>28</v>
      </c>
      <c r="C22" s="6">
        <v>66</v>
      </c>
      <c r="D22" s="5" t="s">
        <v>43</v>
      </c>
      <c r="E22" s="6">
        <v>66</v>
      </c>
      <c r="F22" s="5"/>
      <c r="H22" s="5" t="s">
        <v>41</v>
      </c>
      <c r="I22" s="6">
        <v>16.420000000000002</v>
      </c>
      <c r="J22" s="5" t="s">
        <v>44</v>
      </c>
      <c r="K22">
        <v>100</v>
      </c>
      <c r="L22" s="6">
        <v>55650</v>
      </c>
      <c r="M22" s="17" t="s">
        <v>39</v>
      </c>
      <c r="N22" s="17"/>
      <c r="O22">
        <v>55</v>
      </c>
      <c r="P22" s="6"/>
      <c r="Q22">
        <v>2.8999999999999998E-3</v>
      </c>
      <c r="R22">
        <v>160</v>
      </c>
      <c r="S22">
        <f>60*6</f>
        <v>360</v>
      </c>
    </row>
    <row r="23" spans="1:19" x14ac:dyDescent="0.2">
      <c r="A23" s="14"/>
      <c r="B23" s="5" t="s">
        <v>45</v>
      </c>
      <c r="C23" s="6">
        <v>1.31</v>
      </c>
      <c r="D23" s="5" t="s">
        <v>46</v>
      </c>
      <c r="E23" s="6">
        <v>0.65</v>
      </c>
      <c r="F23" s="5" t="s">
        <v>47</v>
      </c>
      <c r="G23">
        <v>0.96699999999999997</v>
      </c>
      <c r="H23" s="5"/>
      <c r="I23" s="6"/>
      <c r="J23" s="5" t="s">
        <v>48</v>
      </c>
      <c r="K23">
        <v>74</v>
      </c>
      <c r="L23" s="6"/>
      <c r="M23" s="17" t="s">
        <v>33</v>
      </c>
      <c r="N23" s="17">
        <v>15</v>
      </c>
      <c r="P23" s="6" t="s">
        <v>34</v>
      </c>
      <c r="S23">
        <f>60*15</f>
        <v>900</v>
      </c>
    </row>
    <row r="24" spans="1:19" x14ac:dyDescent="0.2">
      <c r="A24" s="14"/>
      <c r="B24" s="5" t="s">
        <v>45</v>
      </c>
      <c r="C24" s="6">
        <v>1.31</v>
      </c>
      <c r="D24" s="5" t="s">
        <v>46</v>
      </c>
      <c r="E24" s="6">
        <v>0.65</v>
      </c>
      <c r="F24" s="5" t="s">
        <v>47</v>
      </c>
      <c r="G24">
        <v>0.96699999999999997</v>
      </c>
      <c r="H24" s="5"/>
      <c r="I24" s="6"/>
      <c r="J24" s="5" t="s">
        <v>48</v>
      </c>
      <c r="K24">
        <v>90</v>
      </c>
      <c r="L24" s="6"/>
      <c r="M24" s="17" t="s">
        <v>33</v>
      </c>
      <c r="N24" s="17">
        <v>25</v>
      </c>
      <c r="P24" s="6" t="s">
        <v>34</v>
      </c>
      <c r="S24">
        <f>60*15</f>
        <v>900</v>
      </c>
    </row>
    <row r="25" spans="1:19" x14ac:dyDescent="0.2">
      <c r="A25" s="14"/>
      <c r="B25" s="5" t="s">
        <v>45</v>
      </c>
      <c r="C25" s="6">
        <v>1.31</v>
      </c>
      <c r="D25" s="5" t="s">
        <v>46</v>
      </c>
      <c r="E25" s="6">
        <v>0.65</v>
      </c>
      <c r="F25" s="5" t="s">
        <v>47</v>
      </c>
      <c r="G25">
        <v>0</v>
      </c>
      <c r="H25" s="5"/>
      <c r="I25" s="6"/>
      <c r="J25" s="5" t="s">
        <v>48</v>
      </c>
      <c r="K25">
        <v>89</v>
      </c>
      <c r="L25" s="6"/>
      <c r="M25" s="17" t="s">
        <v>33</v>
      </c>
      <c r="N25" s="17">
        <v>25</v>
      </c>
      <c r="P25" s="6" t="s">
        <v>34</v>
      </c>
      <c r="S25">
        <f>60*15</f>
        <v>900</v>
      </c>
    </row>
    <row r="26" spans="1:19" x14ac:dyDescent="0.2">
      <c r="A26" s="14"/>
      <c r="B26" s="5" t="s">
        <v>45</v>
      </c>
      <c r="C26" s="6">
        <v>1.31</v>
      </c>
      <c r="D26" s="5" t="s">
        <v>46</v>
      </c>
      <c r="E26" s="6">
        <v>0.65</v>
      </c>
      <c r="F26" s="5" t="s">
        <v>47</v>
      </c>
      <c r="G26">
        <v>0</v>
      </c>
      <c r="H26" s="5"/>
      <c r="I26" s="6"/>
      <c r="J26" s="5" t="s">
        <v>48</v>
      </c>
      <c r="K26">
        <v>93</v>
      </c>
      <c r="L26" s="6"/>
      <c r="M26" s="17" t="s">
        <v>33</v>
      </c>
      <c r="N26" s="17">
        <v>25</v>
      </c>
      <c r="P26" s="6" t="s">
        <v>34</v>
      </c>
      <c r="S26">
        <f>60*20</f>
        <v>1200</v>
      </c>
    </row>
    <row r="27" spans="1:19" x14ac:dyDescent="0.2">
      <c r="A27" s="14"/>
      <c r="B27" s="5" t="s">
        <v>45</v>
      </c>
      <c r="C27" s="6">
        <v>1.31</v>
      </c>
      <c r="D27" s="5" t="s">
        <v>46</v>
      </c>
      <c r="E27" s="6">
        <v>0.65</v>
      </c>
      <c r="F27" s="5" t="s">
        <v>47</v>
      </c>
      <c r="G27">
        <v>0</v>
      </c>
      <c r="H27" s="5"/>
      <c r="I27" s="6"/>
      <c r="J27" s="5" t="s">
        <v>48</v>
      </c>
      <c r="K27">
        <v>100</v>
      </c>
      <c r="L27" s="6"/>
      <c r="M27" s="17" t="s">
        <v>33</v>
      </c>
      <c r="N27" s="17">
        <v>25</v>
      </c>
      <c r="P27" s="6" t="s">
        <v>34</v>
      </c>
      <c r="S27">
        <f>60*30</f>
        <v>1800</v>
      </c>
    </row>
    <row r="28" spans="1:19" x14ac:dyDescent="0.2">
      <c r="A28" s="14"/>
      <c r="B28" s="5" t="s">
        <v>45</v>
      </c>
      <c r="C28" s="6">
        <v>82</v>
      </c>
      <c r="D28" s="5" t="s">
        <v>46</v>
      </c>
      <c r="E28" s="6">
        <v>41</v>
      </c>
      <c r="F28" s="5"/>
      <c r="G28" s="6"/>
      <c r="H28" s="5"/>
      <c r="I28" s="6"/>
      <c r="J28" s="5" t="s">
        <v>48</v>
      </c>
      <c r="K28">
        <v>0</v>
      </c>
      <c r="L28" s="6"/>
      <c r="M28" s="17" t="s">
        <v>39</v>
      </c>
      <c r="N28" s="17"/>
      <c r="O28">
        <v>55</v>
      </c>
      <c r="P28" s="6"/>
      <c r="Q28" s="16">
        <v>0.45</v>
      </c>
      <c r="R28">
        <v>80</v>
      </c>
      <c r="S28">
        <f>60*2</f>
        <v>120</v>
      </c>
    </row>
    <row r="29" spans="1:19" x14ac:dyDescent="0.2">
      <c r="A29" s="14"/>
      <c r="B29" s="5" t="s">
        <v>45</v>
      </c>
      <c r="C29" s="6">
        <v>82</v>
      </c>
      <c r="D29" s="5" t="s">
        <v>46</v>
      </c>
      <c r="E29" s="6">
        <v>41</v>
      </c>
      <c r="F29" s="5"/>
      <c r="G29" s="6"/>
      <c r="H29" s="5"/>
      <c r="I29" s="6"/>
      <c r="J29" s="5" t="s">
        <v>48</v>
      </c>
      <c r="K29">
        <v>45</v>
      </c>
      <c r="L29" s="6"/>
      <c r="M29" s="17" t="s">
        <v>39</v>
      </c>
      <c r="N29" s="17"/>
      <c r="O29">
        <v>55</v>
      </c>
      <c r="P29" s="6"/>
      <c r="Q29" s="16">
        <v>0.73</v>
      </c>
      <c r="R29">
        <v>80</v>
      </c>
      <c r="S29">
        <f>60*2</f>
        <v>120</v>
      </c>
    </row>
    <row r="30" spans="1:19" x14ac:dyDescent="0.2">
      <c r="A30" s="14"/>
      <c r="B30" s="5" t="s">
        <v>45</v>
      </c>
      <c r="C30" s="6">
        <v>82</v>
      </c>
      <c r="D30" s="5" t="s">
        <v>46</v>
      </c>
      <c r="E30" s="6">
        <v>41</v>
      </c>
      <c r="F30" s="5"/>
      <c r="G30" s="6"/>
      <c r="H30" s="5"/>
      <c r="I30" s="6"/>
      <c r="J30" s="5" t="s">
        <v>48</v>
      </c>
      <c r="K30">
        <v>70</v>
      </c>
      <c r="L30" s="6"/>
      <c r="M30" s="17" t="s">
        <v>39</v>
      </c>
      <c r="N30" s="17"/>
      <c r="O30">
        <v>55</v>
      </c>
      <c r="P30" s="6"/>
      <c r="Q30" s="16">
        <v>0.79</v>
      </c>
      <c r="R30">
        <v>80</v>
      </c>
      <c r="S30">
        <f>60*2</f>
        <v>120</v>
      </c>
    </row>
    <row r="31" spans="1:19" x14ac:dyDescent="0.2">
      <c r="A31" s="14"/>
      <c r="B31" s="5" t="s">
        <v>45</v>
      </c>
      <c r="C31" s="6">
        <v>82</v>
      </c>
      <c r="D31" s="5" t="s">
        <v>46</v>
      </c>
      <c r="E31" s="6">
        <v>41</v>
      </c>
      <c r="F31" s="5"/>
      <c r="G31" s="6"/>
      <c r="H31" s="5"/>
      <c r="I31" s="6"/>
      <c r="J31" s="5" t="s">
        <v>48</v>
      </c>
      <c r="K31">
        <v>91</v>
      </c>
      <c r="L31" s="6"/>
      <c r="M31" s="17" t="s">
        <v>39</v>
      </c>
      <c r="N31" s="17"/>
      <c r="O31">
        <v>55</v>
      </c>
      <c r="P31" s="6"/>
      <c r="Q31" s="16">
        <v>0.79</v>
      </c>
      <c r="R31">
        <v>100</v>
      </c>
      <c r="S31">
        <f>60*2</f>
        <v>120</v>
      </c>
    </row>
    <row r="32" spans="1:19" x14ac:dyDescent="0.2">
      <c r="A32" s="14"/>
      <c r="B32" s="5" t="s">
        <v>45</v>
      </c>
      <c r="C32" s="6">
        <v>82</v>
      </c>
      <c r="D32" s="5" t="s">
        <v>46</v>
      </c>
      <c r="E32" s="6">
        <v>41</v>
      </c>
      <c r="F32" s="5"/>
      <c r="G32" s="6"/>
      <c r="H32" s="5"/>
      <c r="I32" s="6"/>
      <c r="J32" s="5" t="s">
        <v>48</v>
      </c>
      <c r="K32">
        <v>100</v>
      </c>
      <c r="L32" s="6">
        <v>14900</v>
      </c>
      <c r="M32" s="17" t="s">
        <v>39</v>
      </c>
      <c r="N32" s="17"/>
      <c r="O32">
        <v>55</v>
      </c>
      <c r="P32" s="6"/>
      <c r="Q32" s="16">
        <v>0.79</v>
      </c>
      <c r="R32">
        <v>120</v>
      </c>
      <c r="S32">
        <f>60*2</f>
        <v>120</v>
      </c>
    </row>
    <row r="33" spans="1:19" x14ac:dyDescent="0.2">
      <c r="A33" s="14"/>
      <c r="B33" s="5" t="s">
        <v>50</v>
      </c>
      <c r="C33" s="6">
        <v>60</v>
      </c>
      <c r="D33" s="5" t="s">
        <v>51</v>
      </c>
      <c r="E33" s="6">
        <v>120</v>
      </c>
      <c r="F33" s="5"/>
      <c r="G33" s="6"/>
      <c r="H33" s="5"/>
      <c r="I33" s="6"/>
      <c r="J33" s="5" t="s">
        <v>49</v>
      </c>
      <c r="K33">
        <v>100</v>
      </c>
      <c r="L33" s="6">
        <v>35000</v>
      </c>
      <c r="M33" s="17" t="s">
        <v>39</v>
      </c>
      <c r="N33" s="17"/>
      <c r="O33">
        <v>200</v>
      </c>
      <c r="P33" s="6"/>
      <c r="Q33" s="16">
        <v>0.12</v>
      </c>
      <c r="R33">
        <v>120</v>
      </c>
      <c r="S33">
        <f>60*12</f>
        <v>720</v>
      </c>
    </row>
    <row r="34" spans="1:19" x14ac:dyDescent="0.2">
      <c r="A34" s="14"/>
      <c r="B34" s="5" t="s">
        <v>53</v>
      </c>
      <c r="C34" s="6">
        <v>2.81</v>
      </c>
      <c r="D34" s="5" t="s">
        <v>51</v>
      </c>
      <c r="E34" s="6">
        <v>2.81</v>
      </c>
      <c r="F34" s="5"/>
      <c r="G34" s="6"/>
      <c r="H34" s="5" t="s">
        <v>41</v>
      </c>
      <c r="I34" s="6">
        <v>0.217</v>
      </c>
      <c r="J34" s="5" t="s">
        <v>52</v>
      </c>
      <c r="K34">
        <v>100</v>
      </c>
      <c r="L34" s="6"/>
      <c r="M34" s="17" t="s">
        <v>33</v>
      </c>
      <c r="N34" s="17">
        <v>25</v>
      </c>
      <c r="P34" s="6" t="s">
        <v>34</v>
      </c>
      <c r="Q34" s="16"/>
      <c r="S34">
        <f>60*30</f>
        <v>1800</v>
      </c>
    </row>
    <row r="35" spans="1:19" x14ac:dyDescent="0.2">
      <c r="A35" s="14"/>
      <c r="B35" s="5" t="s">
        <v>53</v>
      </c>
      <c r="C35" s="6">
        <v>57.4</v>
      </c>
      <c r="D35" s="5" t="s">
        <v>51</v>
      </c>
      <c r="E35" s="6">
        <v>57.4</v>
      </c>
      <c r="F35" s="5"/>
      <c r="G35" s="6"/>
      <c r="H35" s="5" t="s">
        <v>41</v>
      </c>
      <c r="I35" s="6">
        <v>8.68</v>
      </c>
      <c r="J35" s="5" t="s">
        <v>52</v>
      </c>
      <c r="K35">
        <v>100</v>
      </c>
      <c r="L35" s="6">
        <v>32000</v>
      </c>
      <c r="M35" s="17" t="s">
        <v>39</v>
      </c>
      <c r="N35" s="17"/>
      <c r="O35">
        <v>55</v>
      </c>
      <c r="P35" s="6"/>
      <c r="Q35" s="16">
        <v>0.05</v>
      </c>
      <c r="R35">
        <v>100</v>
      </c>
      <c r="S35">
        <f>60*12</f>
        <v>720</v>
      </c>
    </row>
    <row r="36" spans="1:19" x14ac:dyDescent="0.2">
      <c r="A36" s="14"/>
      <c r="B36" s="5"/>
      <c r="C36" s="6"/>
      <c r="D36" s="5"/>
      <c r="E36" s="6"/>
      <c r="F36" s="5"/>
      <c r="H36" s="5"/>
      <c r="I36" s="6"/>
      <c r="J36" s="5"/>
      <c r="L36" s="6"/>
      <c r="M36" s="17"/>
      <c r="N36" s="17"/>
      <c r="P36" s="6"/>
      <c r="Q36" s="16"/>
    </row>
    <row r="37" spans="1:19" x14ac:dyDescent="0.2">
      <c r="A37" s="14"/>
      <c r="B37" s="5"/>
      <c r="C37" s="6"/>
      <c r="D37" s="5"/>
      <c r="E37" s="6"/>
      <c r="F37" s="5"/>
      <c r="H37" s="5"/>
      <c r="I37" s="6"/>
      <c r="J37" s="5"/>
      <c r="L37" s="6"/>
      <c r="M37" s="17"/>
      <c r="N37" s="17"/>
      <c r="P37" s="6"/>
      <c r="Q37" s="16"/>
    </row>
    <row r="38" spans="1:19" x14ac:dyDescent="0.2">
      <c r="A38" s="14"/>
      <c r="B38" s="5"/>
      <c r="C38" s="6"/>
      <c r="D38" s="5"/>
      <c r="E38" s="6"/>
      <c r="F38" s="5"/>
      <c r="G38" s="6"/>
      <c r="H38" s="5"/>
      <c r="I38" s="6"/>
      <c r="J38" s="5"/>
      <c r="L38" s="6"/>
      <c r="M38" s="17"/>
      <c r="N38" s="17"/>
      <c r="P38" s="6"/>
      <c r="Q38" s="16"/>
    </row>
    <row r="39" spans="1:19" x14ac:dyDescent="0.2">
      <c r="A39" s="14"/>
      <c r="B39" s="5"/>
      <c r="C39" s="6"/>
      <c r="D39" s="5"/>
      <c r="E39" s="6"/>
      <c r="F39" s="5"/>
      <c r="G39" s="6"/>
      <c r="H39" s="5"/>
      <c r="I39" s="6"/>
      <c r="J39" s="5"/>
      <c r="L39" s="6"/>
      <c r="M39" s="17"/>
      <c r="N39" s="17"/>
      <c r="P39" s="6"/>
      <c r="Q39" s="16"/>
    </row>
    <row r="40" spans="1:19" x14ac:dyDescent="0.2">
      <c r="A40" s="14"/>
      <c r="B40" s="5"/>
      <c r="C40" s="6"/>
      <c r="D40" s="5"/>
      <c r="E40" s="6"/>
      <c r="F40" s="5"/>
      <c r="G40" s="6"/>
      <c r="H40" s="5"/>
      <c r="I40" s="6"/>
      <c r="J40" s="5"/>
      <c r="L40" s="6"/>
      <c r="M40" s="17"/>
      <c r="N40" s="17"/>
      <c r="P40" s="6"/>
      <c r="Q40" s="16"/>
    </row>
    <row r="41" spans="1:19" x14ac:dyDescent="0.2">
      <c r="A41" s="14"/>
      <c r="B41" s="5"/>
      <c r="C41" s="6"/>
      <c r="D41" s="5"/>
      <c r="E41" s="6"/>
      <c r="F41" s="5"/>
      <c r="G41" s="6"/>
      <c r="H41" s="5"/>
      <c r="I41" s="6"/>
      <c r="J41" s="5"/>
      <c r="L41" s="6"/>
      <c r="M41" s="17"/>
      <c r="N41" s="17"/>
      <c r="P41" s="6"/>
      <c r="Q41" s="16"/>
    </row>
    <row r="42" spans="1:19" x14ac:dyDescent="0.2">
      <c r="A42" s="14"/>
      <c r="B42" s="5"/>
      <c r="C42" s="6"/>
      <c r="D42" s="5"/>
      <c r="E42" s="6"/>
      <c r="F42" s="5"/>
      <c r="G42" s="6"/>
      <c r="H42" s="5"/>
      <c r="I42" s="6"/>
      <c r="J42" s="5"/>
      <c r="L42" s="6"/>
      <c r="M42" s="17"/>
      <c r="N42" s="17"/>
      <c r="P42" s="6"/>
      <c r="Q42" s="16"/>
    </row>
    <row r="43" spans="1:19" x14ac:dyDescent="0.2">
      <c r="A43" s="14"/>
      <c r="B43" s="5"/>
      <c r="C43" s="6"/>
      <c r="D43" s="5"/>
      <c r="E43" s="6"/>
      <c r="F43" s="5"/>
      <c r="G43" s="6"/>
      <c r="H43" s="5"/>
      <c r="I43" s="6"/>
      <c r="J43" s="5"/>
      <c r="L43" s="6"/>
      <c r="M43" s="17"/>
      <c r="N43" s="17"/>
      <c r="P43" s="6"/>
      <c r="Q43" s="16"/>
    </row>
    <row r="44" spans="1:19" x14ac:dyDescent="0.2">
      <c r="A44" s="14"/>
      <c r="B44" s="5"/>
      <c r="C44" s="6"/>
      <c r="D44" s="5"/>
      <c r="E44" s="6"/>
      <c r="F44" s="5"/>
      <c r="G44" s="6"/>
      <c r="H44" s="5"/>
      <c r="I44" s="6"/>
      <c r="J44" s="5"/>
      <c r="L44" s="6"/>
      <c r="M44" s="17"/>
      <c r="N44" s="17"/>
      <c r="P44" s="6"/>
      <c r="Q44" s="16"/>
    </row>
    <row r="45" spans="1:19" x14ac:dyDescent="0.2">
      <c r="A45" s="14"/>
      <c r="B45" s="5"/>
      <c r="C45" s="6"/>
      <c r="D45" s="5"/>
      <c r="E45" s="6"/>
      <c r="F45" s="5"/>
      <c r="G45" s="6"/>
      <c r="H45" s="5"/>
      <c r="I45" s="6"/>
      <c r="J45" s="5"/>
      <c r="L45" s="6"/>
      <c r="M45" s="17"/>
      <c r="N45" s="17"/>
      <c r="P45" s="6"/>
      <c r="Q45" s="16"/>
    </row>
    <row r="46" spans="1:19" x14ac:dyDescent="0.2">
      <c r="A46" s="14"/>
      <c r="B46" s="5"/>
      <c r="C46" s="6"/>
      <c r="D46" s="5"/>
      <c r="E46" s="6"/>
      <c r="F46" s="5"/>
      <c r="H46" s="5"/>
      <c r="I46" s="6"/>
      <c r="J46" s="5"/>
      <c r="L46" s="6"/>
      <c r="M46" s="17"/>
      <c r="N46" s="17"/>
      <c r="P46" s="6"/>
    </row>
    <row r="47" spans="1:19" x14ac:dyDescent="0.2">
      <c r="A47" s="14"/>
      <c r="B47" s="5"/>
      <c r="C47" s="6"/>
      <c r="D47" s="5"/>
      <c r="E47" s="6"/>
      <c r="F47" s="5"/>
      <c r="H47" s="5"/>
      <c r="I47" s="6"/>
      <c r="J47" s="5"/>
      <c r="L47" s="6"/>
      <c r="M47" s="17"/>
      <c r="N47" s="17"/>
      <c r="P47" s="6"/>
    </row>
    <row r="48" spans="1:19" x14ac:dyDescent="0.2">
      <c r="A48" s="14"/>
      <c r="B48" s="5"/>
      <c r="C48" s="6"/>
      <c r="D48" s="5"/>
      <c r="E48" s="6"/>
      <c r="F48" s="5"/>
      <c r="H48" s="5"/>
      <c r="I48" s="6"/>
      <c r="J48" s="5"/>
      <c r="L48" s="6"/>
      <c r="M48" s="17"/>
      <c r="N48" s="17"/>
      <c r="P48" s="6"/>
    </row>
    <row r="49" spans="1:16" x14ac:dyDescent="0.2">
      <c r="A49" s="14"/>
      <c r="B49" s="5"/>
      <c r="C49" s="6"/>
      <c r="D49" s="5"/>
      <c r="E49" s="6"/>
      <c r="F49" s="5"/>
      <c r="H49" s="5"/>
      <c r="I49" s="6"/>
      <c r="J49" s="5"/>
      <c r="L49" s="6"/>
      <c r="M49" s="17"/>
      <c r="N49" s="17"/>
      <c r="P49" s="6"/>
    </row>
    <row r="50" spans="1:16" x14ac:dyDescent="0.2">
      <c r="A50" s="14"/>
      <c r="B50" s="5"/>
      <c r="C50" s="6"/>
      <c r="D50" s="5"/>
      <c r="E50" s="6"/>
      <c r="F50" s="5"/>
      <c r="H50" s="5"/>
      <c r="I50" s="6"/>
      <c r="J50" s="5"/>
      <c r="L50" s="6"/>
      <c r="M50" s="17"/>
      <c r="N50" s="17"/>
      <c r="P50" s="6"/>
    </row>
    <row r="51" spans="1:16" x14ac:dyDescent="0.2">
      <c r="A51" s="14"/>
      <c r="B51" s="5"/>
      <c r="C51" s="6"/>
      <c r="D51" s="5"/>
      <c r="E51" s="6"/>
      <c r="F51" s="5"/>
      <c r="H51" s="5"/>
      <c r="I51" s="6"/>
      <c r="J51" s="5"/>
      <c r="L51" s="6"/>
      <c r="M51" s="17"/>
      <c r="N51" s="17"/>
      <c r="P51" s="6"/>
    </row>
    <row r="52" spans="1:16" x14ac:dyDescent="0.2">
      <c r="A52" s="14"/>
      <c r="B52" s="5"/>
      <c r="C52" s="6"/>
      <c r="D52" s="5"/>
      <c r="E52" s="6"/>
      <c r="F52" s="5"/>
      <c r="H52" s="5"/>
      <c r="I52" s="6"/>
      <c r="J52" s="5"/>
      <c r="L52" s="6"/>
      <c r="M52" s="17"/>
      <c r="N52" s="17"/>
      <c r="P52" s="6"/>
    </row>
    <row r="53" spans="1:16" x14ac:dyDescent="0.2">
      <c r="A53" s="14"/>
      <c r="B53" s="5"/>
      <c r="C53" s="6"/>
      <c r="D53" s="5"/>
      <c r="E53" s="6"/>
      <c r="F53" s="5"/>
      <c r="H53" s="5"/>
      <c r="I53" s="6"/>
      <c r="J53" s="5"/>
      <c r="L53" s="6"/>
      <c r="M53" s="17"/>
      <c r="N53" s="17"/>
      <c r="P53" s="6"/>
    </row>
    <row r="54" spans="1:16" x14ac:dyDescent="0.2">
      <c r="A54" s="14"/>
      <c r="B54" s="5"/>
      <c r="C54" s="6"/>
      <c r="D54" s="5"/>
      <c r="E54" s="6"/>
      <c r="F54" s="5"/>
      <c r="H54" s="5"/>
      <c r="I54" s="6"/>
      <c r="J54" s="5"/>
      <c r="L54" s="6"/>
      <c r="M54" s="17"/>
      <c r="N54" s="17"/>
      <c r="P54" s="6"/>
    </row>
    <row r="55" spans="1:16" x14ac:dyDescent="0.2">
      <c r="A55" s="14"/>
      <c r="B55" s="5"/>
      <c r="C55" s="6"/>
      <c r="D55" s="5"/>
      <c r="E55" s="6"/>
      <c r="F55" s="5"/>
      <c r="H55" s="5"/>
      <c r="I55" s="6"/>
      <c r="J55" s="5"/>
      <c r="L55" s="6"/>
      <c r="M55" s="17"/>
      <c r="N55" s="17"/>
      <c r="P55" s="6"/>
    </row>
    <row r="56" spans="1:16" x14ac:dyDescent="0.2">
      <c r="A56" s="14"/>
      <c r="B56" s="5"/>
      <c r="C56" s="6"/>
      <c r="D56" s="5"/>
      <c r="E56" s="6"/>
      <c r="F56" s="5"/>
      <c r="H56" s="5"/>
      <c r="I56" s="6"/>
      <c r="J56" s="5"/>
      <c r="L56" s="6"/>
      <c r="M56" s="17"/>
      <c r="N56" s="17"/>
      <c r="P56" s="6"/>
    </row>
    <row r="57" spans="1:16" x14ac:dyDescent="0.2">
      <c r="A57" s="14"/>
      <c r="B57" s="5"/>
      <c r="C57" s="6"/>
      <c r="D57" s="5"/>
      <c r="E57" s="6"/>
      <c r="F57" s="5"/>
      <c r="H57" s="5"/>
      <c r="I57" s="6"/>
      <c r="J57" s="5"/>
      <c r="L57" s="6"/>
      <c r="M57" s="17"/>
      <c r="N57" s="17"/>
      <c r="P57" s="6"/>
    </row>
    <row r="58" spans="1:16" x14ac:dyDescent="0.2">
      <c r="A58" s="14"/>
      <c r="B58" s="5"/>
      <c r="C58" s="6"/>
      <c r="D58" s="5"/>
      <c r="E58" s="6"/>
      <c r="F58" s="5"/>
      <c r="H58" s="5"/>
      <c r="I58" s="6"/>
      <c r="J58" s="5"/>
      <c r="L58" s="6"/>
      <c r="M58" s="17"/>
      <c r="N58" s="17"/>
      <c r="P58" s="6"/>
    </row>
    <row r="59" spans="1:16" x14ac:dyDescent="0.2">
      <c r="A59" s="14"/>
      <c r="B59" s="5"/>
      <c r="C59" s="6"/>
      <c r="D59" s="5"/>
      <c r="E59" s="6"/>
      <c r="F59" s="5"/>
      <c r="H59" s="5"/>
      <c r="I59" s="6"/>
      <c r="J59" s="5"/>
      <c r="L59" s="6"/>
      <c r="M59" s="17"/>
      <c r="N59" s="17"/>
      <c r="P59" s="6"/>
    </row>
    <row r="60" spans="1:16" x14ac:dyDescent="0.2">
      <c r="A60" s="14"/>
      <c r="B60" s="5"/>
      <c r="C60" s="6"/>
      <c r="D60" s="5"/>
      <c r="E60" s="6"/>
      <c r="F60" s="5"/>
      <c r="H60" s="5"/>
      <c r="I60" s="6"/>
      <c r="J60" s="5"/>
      <c r="L60" s="6"/>
      <c r="M60" s="17"/>
      <c r="N60" s="17"/>
      <c r="P60" s="6"/>
    </row>
    <row r="61" spans="1:16" x14ac:dyDescent="0.2">
      <c r="A61" s="14"/>
      <c r="B61" s="5"/>
      <c r="C61" s="6"/>
      <c r="D61" s="5"/>
      <c r="E61" s="6"/>
      <c r="F61" s="5"/>
      <c r="H61" s="5"/>
      <c r="I61" s="6"/>
      <c r="J61" s="5"/>
      <c r="L61" s="6"/>
      <c r="M61" s="17"/>
      <c r="N61" s="17"/>
      <c r="P61" s="6"/>
    </row>
    <row r="62" spans="1:16" x14ac:dyDescent="0.2">
      <c r="A62" s="14"/>
      <c r="B62" s="5"/>
      <c r="C62" s="6"/>
      <c r="D62" s="5"/>
      <c r="E62" s="6"/>
      <c r="F62" s="5"/>
      <c r="H62" s="5"/>
      <c r="I62" s="6"/>
      <c r="J62" s="5"/>
      <c r="L62" s="6"/>
      <c r="M62" s="17"/>
      <c r="N62" s="17"/>
      <c r="P62" s="6"/>
    </row>
    <row r="63" spans="1:16" x14ac:dyDescent="0.2">
      <c r="A63" s="14"/>
      <c r="B63" s="5"/>
      <c r="C63" s="6"/>
      <c r="D63" s="5"/>
      <c r="E63" s="6"/>
      <c r="F63" s="5"/>
      <c r="H63" s="5"/>
      <c r="I63" s="6"/>
      <c r="J63" s="5"/>
      <c r="L63" s="6"/>
      <c r="M63" s="17"/>
      <c r="N63" s="17"/>
      <c r="P63" s="6"/>
    </row>
    <row r="64" spans="1:16" x14ac:dyDescent="0.2">
      <c r="A64" s="14"/>
      <c r="B64" s="5"/>
      <c r="C64" s="6"/>
      <c r="D64" s="5"/>
      <c r="E64" s="6"/>
      <c r="F64" s="5"/>
      <c r="H64" s="5"/>
      <c r="I64" s="6"/>
      <c r="J64" s="5"/>
      <c r="L64" s="6"/>
      <c r="M64" s="17"/>
      <c r="N64" s="17"/>
      <c r="P64" s="6"/>
    </row>
    <row r="65" spans="1:16" x14ac:dyDescent="0.2">
      <c r="A65" s="14"/>
      <c r="B65" s="5"/>
      <c r="C65" s="6"/>
      <c r="D65" s="5"/>
      <c r="E65" s="6"/>
      <c r="F65" s="5"/>
      <c r="H65" s="5"/>
      <c r="I65" s="6"/>
      <c r="J65" s="7"/>
      <c r="K65" s="21"/>
      <c r="L65" s="8"/>
      <c r="M65" s="17"/>
      <c r="N65" s="17"/>
      <c r="P65" s="6"/>
    </row>
    <row r="66" spans="1:16" x14ac:dyDescent="0.2">
      <c r="B66" s="5"/>
      <c r="C66" s="6"/>
      <c r="D66" s="5"/>
      <c r="E66" s="6"/>
      <c r="F66" s="5"/>
      <c r="H66" s="5"/>
      <c r="I66" s="6"/>
      <c r="M66" s="17"/>
      <c r="N66" s="17"/>
      <c r="P66" s="6"/>
    </row>
    <row r="67" spans="1:16" x14ac:dyDescent="0.2">
      <c r="B67" s="5"/>
      <c r="C67" s="6"/>
      <c r="D67" s="5"/>
      <c r="E67" s="6"/>
      <c r="F67" s="5"/>
      <c r="H67" s="5"/>
      <c r="I67" s="6"/>
      <c r="M67" s="17"/>
      <c r="N67" s="17"/>
      <c r="P67" s="6"/>
    </row>
    <row r="68" spans="1:16" x14ac:dyDescent="0.2">
      <c r="B68" s="5"/>
      <c r="C68" s="6"/>
      <c r="D68" s="5"/>
      <c r="E68" s="6"/>
      <c r="F68" s="5"/>
      <c r="H68" s="5"/>
      <c r="I68" s="6"/>
      <c r="M68" s="17"/>
      <c r="N68" s="17"/>
      <c r="P68" s="6"/>
    </row>
    <row r="69" spans="1:16" x14ac:dyDescent="0.2">
      <c r="B69" s="5"/>
      <c r="C69" s="6"/>
      <c r="D69" s="5"/>
      <c r="E69" s="6"/>
      <c r="F69" s="5"/>
      <c r="H69" s="5"/>
      <c r="I69" s="6"/>
      <c r="M69" s="17"/>
      <c r="N69" s="17"/>
      <c r="P69" s="6"/>
    </row>
    <row r="70" spans="1:16" x14ac:dyDescent="0.2">
      <c r="B70" s="5"/>
      <c r="C70" s="6"/>
      <c r="D70" s="5"/>
      <c r="E70" s="6"/>
      <c r="F70" s="5"/>
      <c r="H70" s="5"/>
      <c r="I70" s="6"/>
      <c r="M70" s="17"/>
      <c r="N70" s="17"/>
      <c r="P70" s="6"/>
    </row>
    <row r="71" spans="1:16" x14ac:dyDescent="0.2">
      <c r="B71" s="5"/>
      <c r="C71" s="6"/>
      <c r="D71" s="5"/>
      <c r="E71" s="6"/>
      <c r="F71" s="5"/>
      <c r="H71" s="5"/>
      <c r="I71" s="6"/>
      <c r="M71" s="17"/>
      <c r="N71" s="17"/>
      <c r="P71" s="6"/>
    </row>
    <row r="72" spans="1:16" x14ac:dyDescent="0.2">
      <c r="B72" s="5"/>
      <c r="C72" s="6"/>
      <c r="D72" s="5"/>
      <c r="E72" s="6"/>
      <c r="F72" s="5"/>
      <c r="H72" s="5"/>
      <c r="I72" s="6"/>
      <c r="M72" s="17"/>
      <c r="N72" s="17"/>
      <c r="P72" s="6"/>
    </row>
    <row r="73" spans="1:16" x14ac:dyDescent="0.2">
      <c r="B73" s="5"/>
      <c r="C73" s="6"/>
      <c r="D73" s="5"/>
      <c r="E73" s="6"/>
      <c r="F73" s="5"/>
      <c r="H73" s="5"/>
      <c r="I73" s="6"/>
      <c r="M73" s="17"/>
      <c r="N73" s="17"/>
      <c r="P73" s="6"/>
    </row>
    <row r="74" spans="1:16" x14ac:dyDescent="0.2">
      <c r="B74" s="5"/>
      <c r="C74" s="6"/>
      <c r="D74" s="5"/>
      <c r="E74" s="6"/>
      <c r="F74" s="5"/>
      <c r="H74" s="5"/>
      <c r="I74" s="6"/>
      <c r="M74" s="17"/>
      <c r="N74" s="17"/>
      <c r="P74" s="6"/>
    </row>
    <row r="75" spans="1:16" x14ac:dyDescent="0.2">
      <c r="B75" s="5"/>
      <c r="C75" s="6"/>
      <c r="D75" s="5"/>
      <c r="E75" s="6"/>
      <c r="F75" s="5"/>
      <c r="H75" s="5"/>
      <c r="I75" s="6"/>
      <c r="M75" s="17"/>
      <c r="N75" s="17"/>
      <c r="P75" s="6"/>
    </row>
    <row r="76" spans="1:16" x14ac:dyDescent="0.2">
      <c r="B76" s="5"/>
      <c r="C76" s="6"/>
      <c r="D76" s="5"/>
      <c r="E76" s="6"/>
      <c r="F76" s="5"/>
      <c r="H76" s="5"/>
      <c r="I76" s="6"/>
      <c r="M76" s="17"/>
      <c r="N76" s="17"/>
      <c r="P76" s="6"/>
    </row>
    <row r="77" spans="1:16" x14ac:dyDescent="0.2">
      <c r="B77" s="5"/>
      <c r="C77" s="6"/>
      <c r="D77" s="5"/>
      <c r="E77" s="6"/>
      <c r="F77" s="5"/>
      <c r="H77" s="5"/>
      <c r="I77" s="6"/>
      <c r="M77" s="17"/>
      <c r="N77" s="17"/>
      <c r="P77" s="6"/>
    </row>
    <row r="78" spans="1:16" x14ac:dyDescent="0.2">
      <c r="B78" s="5"/>
      <c r="C78" s="6"/>
      <c r="D78" s="5"/>
      <c r="E78" s="6"/>
      <c r="F78" s="5"/>
      <c r="H78" s="5"/>
      <c r="I78" s="6"/>
      <c r="M78" s="17"/>
      <c r="N78" s="17"/>
      <c r="P78" s="6"/>
    </row>
    <row r="79" spans="1:16" x14ac:dyDescent="0.2">
      <c r="B79" s="5"/>
      <c r="C79" s="6"/>
      <c r="D79" s="5"/>
      <c r="E79" s="6"/>
      <c r="F79" s="5"/>
      <c r="H79" s="5"/>
      <c r="I79" s="6"/>
      <c r="M79" s="17"/>
      <c r="N79" s="17"/>
      <c r="P79" s="6"/>
    </row>
    <row r="80" spans="1:16" x14ac:dyDescent="0.2">
      <c r="B80" s="5"/>
      <c r="C80" s="6"/>
      <c r="D80" s="5"/>
      <c r="E80" s="6"/>
      <c r="F80" s="5"/>
      <c r="H80" s="5"/>
      <c r="I80" s="6"/>
      <c r="M80" s="17"/>
      <c r="N80" s="17"/>
      <c r="P80" s="6"/>
    </row>
    <row r="81" spans="2:17" x14ac:dyDescent="0.2">
      <c r="B81" s="5"/>
      <c r="C81" s="6"/>
      <c r="D81" s="5"/>
      <c r="E81" s="6"/>
      <c r="F81" s="5"/>
      <c r="H81" s="5"/>
      <c r="I81" s="6"/>
      <c r="M81" s="17"/>
      <c r="N81" s="17"/>
      <c r="P81" s="6"/>
    </row>
    <row r="82" spans="2:17" x14ac:dyDescent="0.2">
      <c r="B82" s="5"/>
      <c r="C82" s="6"/>
      <c r="D82" s="5"/>
      <c r="E82" s="6"/>
      <c r="F82" s="5"/>
      <c r="H82" s="5"/>
      <c r="I82" s="6"/>
      <c r="M82" s="17"/>
      <c r="N82" s="17"/>
      <c r="P82" s="6"/>
    </row>
    <row r="83" spans="2:17" x14ac:dyDescent="0.2">
      <c r="B83" s="5"/>
      <c r="C83" s="6"/>
      <c r="D83" s="5"/>
      <c r="E83" s="6"/>
      <c r="F83" s="5"/>
      <c r="H83" s="5"/>
      <c r="I83" s="6"/>
      <c r="M83" s="17"/>
      <c r="N83" s="17"/>
      <c r="P83" s="6"/>
      <c r="Q83" s="16"/>
    </row>
    <row r="84" spans="2:17" x14ac:dyDescent="0.2">
      <c r="B84" s="5"/>
      <c r="C84" s="6"/>
      <c r="D84" s="5"/>
      <c r="E84" s="6"/>
      <c r="F84" s="5"/>
      <c r="H84" s="5"/>
      <c r="I84" s="6"/>
      <c r="M84" s="17"/>
      <c r="N84" s="17"/>
      <c r="P84" s="6"/>
      <c r="Q84" s="16"/>
    </row>
    <row r="85" spans="2:17" x14ac:dyDescent="0.2">
      <c r="B85" s="5"/>
      <c r="C85" s="6"/>
      <c r="D85" s="5"/>
      <c r="E85" s="6"/>
      <c r="F85" s="5"/>
      <c r="H85" s="5"/>
      <c r="I85" s="6"/>
      <c r="M85" s="17"/>
      <c r="N85" s="17"/>
      <c r="P85" s="6"/>
      <c r="Q85" s="16"/>
    </row>
    <row r="86" spans="2:17" x14ac:dyDescent="0.2">
      <c r="C86" s="6"/>
      <c r="E86" s="6"/>
      <c r="F86" s="5"/>
      <c r="H86" s="5"/>
      <c r="I86" s="6"/>
      <c r="M86" s="17"/>
      <c r="N86" s="17"/>
      <c r="P86" s="6"/>
      <c r="Q86" s="16"/>
    </row>
    <row r="87" spans="2:17" x14ac:dyDescent="0.2">
      <c r="C87" s="6"/>
      <c r="E87" s="6"/>
      <c r="F87" s="5"/>
      <c r="H87" s="5"/>
      <c r="I87" s="6"/>
      <c r="M87" s="17"/>
      <c r="N87" s="17"/>
      <c r="P87" s="6"/>
      <c r="Q87" s="16"/>
    </row>
    <row r="88" spans="2:17" x14ac:dyDescent="0.2">
      <c r="C88" s="6"/>
      <c r="E88" s="6"/>
      <c r="F88" s="5"/>
      <c r="H88" s="5"/>
      <c r="I88" s="6"/>
      <c r="M88" s="17"/>
      <c r="N88" s="17"/>
      <c r="P88" s="6"/>
      <c r="Q88" s="16"/>
    </row>
    <row r="89" spans="2:17" x14ac:dyDescent="0.2">
      <c r="C89" s="6"/>
      <c r="E89" s="6"/>
      <c r="F89" s="5"/>
      <c r="H89" s="5"/>
      <c r="I89" s="6"/>
      <c r="M89" s="17"/>
      <c r="N89" s="17"/>
      <c r="P89" s="6"/>
      <c r="Q89" s="16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Ho, Yeu-Shiuan</cp:lastModifiedBy>
  <dcterms:created xsi:type="dcterms:W3CDTF">2024-09-04T02:25:14Z</dcterms:created>
  <dcterms:modified xsi:type="dcterms:W3CDTF">2025-05-12T03:06:40Z</dcterms:modified>
</cp:coreProperties>
</file>