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7b106dc4b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22e8ff2dcc4e5f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<x:sst xmlns:x="http://schemas.openxmlformats.org/spreadsheetml/2006/main">
  <x:si>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</x:si>
  <x:si>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</x:si>
  <x:si>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EXPERIMENTER</x:t>
  </x:si>
  <x:si>
    <x:t xml:space="preserve">City</x:t>
  </x:si>
  <x:si>
    <x:t xml:space="preserve">DOI</x:t>
  </x:si>
  <x:si>
    <x:t xml:space="preserve">Publication URL</x:t>
  </x:si>
  <x:si>
    <x:t xml:space="preserve">Record Created</x:t>
  </x:si>
  <x:si>
    <x:t xml:space="preserve">Organization</x:t>
  </x:si>
  <x:si>
    <x:t xml:space="preserve">Name</x:t>
  </x:si>
  <x:si>
    <x:t xml:space="preserve">Email</x:t>
  </x:si>
  <x:si>
    <x:t xml:space="preserve">copper-catalysed alkyne–azide click-coupling</x:t>
  </x:si>
  <x:si>
    <x:t xml:space="preserve">School of Chemistry, University of Birmingham</x:t>
  </x:si>
  <x:si>
    <x:t xml:space="preserve">Birmingham</x:t>
  </x:si>
  <x:si>
    <x:t xml:space="preserve">10.1039/D3SC01591B</x:t>
  </x:si>
  <x:si>
    <x:t xml:space="preserve">https://pubs.rsc.org/en/content/articlelanding/2023/sc/d3sc01591b</x:t>
  </x:si>
  <x:si>
    <x:t xml:space="preserve">Yeu-Shiuan Ho</x:t>
  </x:si>
  <x:si>
    <x:t xml:space="preserve">yeushiuanho@tamu.edu</x:t>
  </x:si>
  <x:si>
    <x:t xml:space="preserve">VARIANTS</x:t>
  </x:si>
  <x:si>
    <x:t xml:space="preserve">REACTANT</x:t>
  </x:si>
  <x:si>
    <x:t xml:space="preserve">CATALYST</x:t>
  </x:si>
  <x:si>
    <x:t xml:space="preserve">Additive</x:t>
  </x:si>
  <x:si>
    <x:t xml:space="preserve">PRODUCT</x:t>
  </x:si>
  <x:si>
    <x:t xml:space="preserve">MECHANOCHEMISTRY</x:t>
  </x:si>
  <x:si>
    <x:t xml:space="preserve">SMILES</x:t>
  </x:si>
  <x:si>
    <x:t xml:space="preserve">Amount (millimole)</x:t>
  </x:si>
  <x:si>
    <x:t xml:space="preserve">name</x:t>
  </x:si>
  <x:si>
    <x:t xml:space="preserve">Amount  (microliter)</x:t>
  </x:si>
  <x:si>
    <x:t xml:space="preserve">Yield (%)</x:t>
  </x:si>
  <x:si>
    <x:t xml:space="preserve">Type</x:t>
  </x:si>
  <x:si>
    <x:t xml:space="preserve">G Force (gE)</x:t>
  </x:si>
  <x:si>
    <x:t xml:space="preserve">Duration (s)</x:t>
  </x:si>
  <x:si>
    <x:t xml:space="preserve">DATA</x:t>
  </x:si>
  <x:si>
    <x:t xml:space="preserve">BrCC1=CC=CC=C1</x:t>
  </x:si>
  <x:si>
    <x:t xml:space="preserve">C#CC1=CC=CC=C1.C#CC1=CC=CC=C1</x:t>
  </x:si>
  <x:si>
    <x:t xml:space="preserve">[N-]=N#N.[Na+]</x:t>
  </x:si>
  <x:si>
    <x:t xml:space="preserve">O=S(C)C</x:t>
  </x:si>
  <x:si>
    <x:t xml:space="preserve">c1(Cn2nnc(c3ccccc3)c2)ccccc1</x:t>
  </x:si>
  <x:si>
    <x:t xml:space="preserve">Resonant Acoustic Mixing</x:t>
  </x:si>
  <x:si>
    <x:t xml:space="preserve">C#CC1=CC=CC=C1</x:t>
  </x:si>
  <x:si>
    <x:t xml:space="preserve">OC</x:t>
  </x:si>
  <x:si>
    <x:t xml:space="preserve">O</x:t>
  </x:si>
  <x:si>
    <x:t xml:space="preserve">BrCC1=CC=C(Br)C=C1</x:t>
  </x:si>
  <x:si>
    <x:t xml:space="preserve">Brc1ccc(Cn2nnc(c3ccccc3)c2)cc1</x:t>
  </x:si>
  <x:si>
    <x:t xml:space="preserve">BrCC1=CC=CC(Br)=C1</x:t>
  </x:si>
  <x:si>
    <x:t xml:space="preserve">Brc1cc(Cn2nnc(c3ccccc3)c2)ccc1</x:t>
  </x:si>
  <x:si>
    <x:t xml:space="preserve">BrCC1=CC=C(C#N)C=C1</x:t>
  </x:si>
  <x:si>
    <x:t xml:space="preserve">N#Cc1ccc(Cn2nnc(c3ccccc3)c2)cc1</x:t>
  </x:si>
  <x:si>
    <x:t xml:space="preserve">BrCC1=CC(OC)=CC(OC)=C1</x:t>
  </x:si>
  <x:si>
    <x:t xml:space="preserve">COc1cc(OC)cc(Cn2nnc(c3ccccc3)c2)c1</x:t>
  </x:si>
  <x:si>
    <x:t xml:space="preserve">BrCC1=CC(C(F)(F)F)=CC(C(F)(F)F)=C1</x:t>
  </x:si>
  <x:si>
    <x:t xml:space="preserve">FC(F)(c1cc(C(F)(F)F)cc(Cn2nnc(c3ccccc3)c2)c1)F</x:t>
  </x:si>
  <x:si>
    <x:t xml:space="preserve">C#C[Si](C)(C)C</x:t>
  </x:si>
  <x:si>
    <x:t xml:space="preserve">C[Si](C)(c1nnn(Cc2ccccc2)c1)C</x:t>
  </x:si>
  <x:si>
    <x:t xml:space="preserve">C[Si](C)(c1nnn(Cc2ccc(Br)cc2)c1)C</x:t>
  </x:si>
  <x:si>
    <x:t xml:space="preserve">C[Si](C)(c1nnn(Cc2cc(Br)ccc2)c1)C</x:t>
  </x:si>
  <x:si>
    <x:t xml:space="preserve">C[Si](C)(c1nnn(Cc2ccc(C#N)cc2)c1)C</x:t>
  </x:si>
  <x:si>
    <x:t xml:space="preserve">COc1cc(OC)cc(Cn2nnc([Si](C)(C)C)c2)c1</x:t>
  </x:si>
  <x:si>
    <x:t xml:space="preserve">C[Si](C)(c1nnn(Cc2cc(C(F)(F)F)cc(C(F)(F)F)c2)c1)C</x:t>
  </x:si>
  <x:si>
    <x:t xml:space="preserve">CCCCC#C</x:t>
  </x:si>
  <x:si>
    <x:t xml:space="preserve">CCCCc1nnn(Cc2ccccc2)c1</x:t>
  </x:si>
  <x:si>
    <x:t xml:space="preserve">CCCCc1nnn(Cc2ccc(Br)cc2)c1</x:t>
  </x:si>
  <x:si>
    <x:t xml:space="preserve">CCCCc1nnn(Cc2cc(Br)ccc2)c1</x:t>
  </x:si>
  <x:si>
    <x:t xml:space="preserve">CCCCc1nnn(Cc2ccc(C#N)cc2)c1</x:t>
  </x:si>
  <x:si>
    <x:t xml:space="preserve">CCCCc1nnn(Cc2cc(OC)cc(OC)c2)c1</x:t>
  </x:si>
  <x:si>
    <x:t xml:space="preserve">CCCCc1nnn(Cc2cc(C(F)(F)F)cc(C(F)(F)F)c2)c1</x:t>
  </x:si>
  <x:si>
    <x:t xml:space="preserve">BrCc1ccccc1</x:t>
  </x:si>
  <x:si>
    <x:t xml:space="preserve">C#Cc1ccc(C#C)cc1</x:t>
  </x:si>
  <x:si>
    <x:t xml:space="preserve">C#Cc1ccc(c2nnn(Cc3ccccc3)c2)cc1</x:t>
  </x:si>
  <x:si>
    <x:t xml:space="preserve">c1(Cn2nnc(c3ccc(c4nnn(Cc5ccccc5)c4)cc3)c2)ccccc1</x:t>
  </x:si>
  <x:si>
    <x:t xml:space="preserve">COc1cc(OC)cc(Cn2nnc(c3ccc(C#C)cc3)c2)c1</x:t>
  </x:si>
  <x:si>
    <x:t xml:space="preserve">COc1cc(OC)cc(Cn2nnc(c3ccc(c4nnn(Cc5cc(OC)cc(OC)c5)c4)cc3)c2)c1</x:t>
  </x:si>
  <x:si>
    <x:t xml:space="preserve">COc1cc(OC)cc(Cn2nnc(c3ccc(c4nnn(Cc5ccccc5)c4)cc3)c2)c1</x:t>
  </x:si>
  <x:si>
    <x:t xml:space="preserve">O=C(N)C#C</x:t>
  </x:si>
  <x:si>
    <x:t xml:space="preserve">FC1=C(CBr)C(F)=CC=C1</x:t>
  </x:si>
  <x:si>
    <x:t xml:space="preserve">FC1=CC=CC(F)=C1CN2C=C(C(N)=O)N=N2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</x:si>
</x:sst>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8">
    <x:font>
      <x:sz val="11"/>
      <x:name val="Carlito"/>
    </x:font>
    <x:font>
      <x:sz val="12"/>
      <x:color rgb="FF000000"/>
      <x:name val="Aptos Narrow"/>
    </x:font>
    <x:font>
      <x:sz val="8"/>
      <x:color rgb="FF000000"/>
      <x:name val="Helvetica"/>
    </x:font>
    <x:font>
      <x:sz val="7"/>
      <x:color rgb="FF000000"/>
      <x:name val="Helvetica"/>
    </x:font>
    <x:font>
      <x:sz val="12"/>
      <x:color rgb="FF467886"/>
      <x:name val="Aptos Narrow"/>
    </x:font>
    <x:font>
      <x:sz val="12"/>
      <x:color rgb="FFFF0000"/>
      <x:name val="Aptos Narrow"/>
    </x:font>
    <x:font>
      <x:sz val="12"/>
      <x:color rgb="FF000000"/>
      <x:name val="Times New Roman"/>
    </x:font>
    <x:font>
      <x:sz val="9"/>
      <x:color rgb="FF000000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13"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0" fontId="1" fillId="0" borderId="4" xfId="0" applyNumberFormat="1" applyFont="1" applyFill="1" applyBorder="1" applyAlignment="1">
      <x:alignment wrapText="0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0" fontId="1" fillId="0" borderId="5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200" fontId="5" fillId="0" borderId="4" xfId="0" applyNumberFormat="1" applyFont="1" applyFill="1" applyBorder="1"/>
    <x:xf numFmtId="200" fontId="5" fillId="0" borderId="4" xfId="0" applyNumberFormat="1" applyFont="1" applyFill="1" applyBorder="1" applyAlignment="1">
      <x:alignment wrapText="0"/>
    </x:xf>
    <x:xf numFmtId="0" fontId="5" fillId="0" borderId="5" xfId="0" applyNumberFormat="1" applyFont="1" applyFill="1" applyBorder="1"/>
    <x:xf numFmtId="200" fontId="5" fillId="0" borderId="5" xfId="0" applyNumberFormat="1" applyFont="1" applyFill="1" applyBorder="1"/>
    <x:xf numFmtId="200" fontId="5" fillId="0" borderId="5" xfId="0" applyNumberFormat="1" applyFont="1" applyFill="1" applyBorder="1" applyAlignment="1">
      <x:alignment wrapText="0"/>
    </x:xf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0" fontId="1" fillId="0" borderId="6" xfId="0" applyNumberFormat="1" applyFont="1" applyFill="1" applyBorder="1" applyAlignment="1">
      <x:alignment wrapText="0"/>
    </x:xf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0" fontId="1" fillId="0" borderId="7" xfId="0" applyNumberFormat="1" applyFont="1" applyFill="1" applyBorder="1" applyAlignment="1">
      <x:alignment wrapText="0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0"/>
    </x:xf>
    <x:xf numFmtId="0" fontId="5" fillId="0" borderId="7" xfId="0" applyNumberFormat="1" applyFont="1" applyFill="1" applyBorder="1"/>
    <x:xf numFmtId="200" fontId="5" fillId="0" borderId="7" xfId="0" applyNumberFormat="1" applyFont="1" applyFill="1" applyBorder="1"/>
    <x:xf numFmtId="200" fontId="5" fillId="0" borderId="7" xfId="0" applyNumberFormat="1" applyFont="1" applyFill="1" applyBorder="1" applyAlignment="1">
      <x:alignment wrapText="0"/>
    </x:xf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0"/>
    </x:xf>
    <x:xf numFmtId="0" fontId="1" fillId="2" borderId="9" xfId="0" applyNumberFormat="1" applyFont="1" applyFill="1" applyBorder="1"/>
    <x:xf numFmtId="200" fontId="1" fillId="2" borderId="9" xfId="0" applyNumberFormat="1" applyFont="1" applyFill="1" applyBorder="1"/>
    <x:xf numFmtId="200" fontId="1" fillId="2" borderId="9" xfId="0" applyNumberFormat="1" applyFont="1" applyFill="1" applyBorder="1" applyAlignment="1">
      <x:alignment wrapText="0"/>
    </x:xf>
    <x:xf numFmtId="0" fontId="1" fillId="2" borderId="10" xfId="0" applyNumberFormat="1" applyFont="1" applyFill="1" applyBorder="1"/>
    <x:xf numFmtId="200" fontId="1" fillId="2" borderId="10" xfId="0" applyNumberFormat="1" applyFont="1" applyFill="1" applyBorder="1"/>
    <x:xf numFmtId="200" fontId="1" fillId="2" borderId="10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wrapText="0"/>
    </x:xf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200" fontId="1" fillId="0" borderId="11" xfId="0" applyNumberFormat="1" applyFont="1" applyFill="1" applyBorder="1" applyAlignment="1">
      <x:alignment wrapText="0"/>
    </x:xf>
    <x:xf numFmtId="0" fontId="1" fillId="0" borderId="12" xfId="0" applyNumberFormat="1" applyFont="1" applyFill="1" applyBorder="1"/>
    <x:xf numFmtId="200" fontId="1" fillId="0" borderId="12" xfId="0" applyNumberFormat="1" applyFont="1" applyFill="1" applyBorder="1"/>
    <x:xf numFmtId="200" fontId="1" fillId="0" borderId="12" xfId="0" applyNumberFormat="1" applyFont="1" applyFill="1" applyBorder="1" applyAlignment="1">
      <x:alignment wrapText="0"/>
    </x:xf>
    <x:xf numFmtId="200" fontId="1" fillId="0" borderId="4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0" fontId="1" fillId="2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2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cf2819eac472e" /><Relationship Type="http://schemas.openxmlformats.org/officeDocument/2006/relationships/theme" Target="/xl/theme/theme1.xml" Id="Re394e9763e314d7f" /><Relationship Type="http://schemas.openxmlformats.org/officeDocument/2006/relationships/sharedStrings" Target="/xl/sharedStrings.xml" Id="R0d64b88e62714078" /><Relationship Type="http://schemas.openxmlformats.org/officeDocument/2006/relationships/worksheet" Target="/xl/worksheets/sheet1.xml" Id="R4722e8ff2dcc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https://doi.org/10.1039/D3SC01591B" TargetMode="External" /><ns0:Relationship Id="rIdCmccdbLink2" Type="http://schemas.openxmlformats.org/officeDocument/2006/relationships/hyperlink" Target="mailto:yeushiuanho@tamu.edu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19.83203125" hidden="0" customWidth="1"/>
    <col min="3" max="3" width="19.33203125" hidden="0" customWidth="1"/>
    <col min="4" max="4" width="18.1640625" hidden="0" customWidth="1"/>
    <col min="5" max="5" width="16.6640625" hidden="0" customWidth="1"/>
    <col min="6" max="6" width="13.5" hidden="0" customWidth="1"/>
    <col min="7" max="7" width="13.5" hidden="0" customWidth="1"/>
    <col min="9" max="9" width="13.5" hidden="0" customWidth="1"/>
    <col min="12" max="12" width="13" hidden="0" customWidth="1"/>
    <col min="10" max="10" width="38" hidden="0" customWidth="1"/>
  </cols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5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" customHeight="1">
      <c r="A3" s="9"/>
      <c r="B3" s="13" t="s">
        <v>1</v>
      </c>
      <c r="C3" t="s">
        <v>2</v>
      </c>
      <c r="D3" t="s">
        <v>3</v>
      </c>
      <c r="E3" t="s">
        <v>4</v>
      </c>
      <c r="F3" s="13" t="s">
        <v>5</v>
      </c>
      <c r="G3" t="s">
        <v>6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" customHeight="1">
      <c r="A4" s="9"/>
      <c r="B4"/>
      <c r="C4" t="s">
        <v>7</v>
      </c>
      <c r="D4"/>
      <c r="E4"/>
      <c r="F4"/>
      <c r="G4" t="s">
        <v>8</v>
      </c>
      <c r="H4" t="s">
        <v>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>
      <c r="A5" s="9"/>
      <c r="B5" s="16" t="s">
        <v>10</v>
      </c>
      <c r="C5" s="19" t="s">
        <v>11</v>
      </c>
      <c r="D5" s="19" t="s">
        <v>12</v>
      </c>
      <c r="E5" s="22" t="s">
        <v>13</v>
      </c>
      <c r="F5" s="25" t="s">
        <v>14</v>
      </c>
      <c r="G5" t="s">
        <v>15</v>
      </c>
      <c r="H5" s="22" t="s">
        <v>16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>
      <c r="A6" s="5" t="s">
        <v>17</v>
      </c>
      <c r="B6"/>
      <c r="C6" s="1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28" customHeight="1">
      <c r="A7" s="9"/>
      <c r="B7" s="28" t="s">
        <v>18</v>
      </c>
      <c r="C7" s="31"/>
      <c r="D7" s="28" t="s">
        <v>18</v>
      </c>
      <c r="E7" s="31"/>
      <c r="F7" s="28" t="s">
        <v>18</v>
      </c>
      <c r="G7" s="31"/>
      <c r="H7" s="28" t="s">
        <v>19</v>
      </c>
      <c r="I7" s="75"/>
      <c r="J7" s="71"/>
      <c r="K7" t="s">
        <v>18</v>
      </c>
      <c r="L7"/>
      <c r="M7" t="s">
        <v>20</v>
      </c>
      <c r="N7"/>
      <c r="O7" t="s">
        <v>20</v>
      </c>
      <c r="P7"/>
      <c r="Q7" t="s">
        <v>21</v>
      </c>
      <c r="R7"/>
      <c r="S7" t="s">
        <v>21</v>
      </c>
      <c r="T7"/>
      <c r="U7" t="s">
        <v>22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28" customHeight="1">
      <c r="A8" s="9"/>
      <c r="B8" s="44" t="s">
        <v>23</v>
      </c>
      <c r="C8" s="47" t="s">
        <v>24</v>
      </c>
      <c r="D8" s="44" t="str">
        <v>SMILES</v>
      </c>
      <c r="E8" s="47" t="s">
        <v>24</v>
      </c>
      <c r="F8" s="44" t="s">
        <v>23</v>
      </c>
      <c r="G8" s="47" t="s">
        <v>24</v>
      </c>
      <c r="H8" s="44" t="s">
        <v>25</v>
      </c>
      <c r="I8" s="76" t="str">
        <v>Amount</v>
      </c>
      <c r="J8" s="72"/>
      <c r="K8" t="s">
        <v>23</v>
      </c>
      <c r="L8" t="s">
        <v>24</v>
      </c>
      <c r="M8" t="s">
        <v>23</v>
      </c>
      <c r="N8" t="s">
        <v>26</v>
      </c>
      <c r="O8" t="s">
        <v>23</v>
      </c>
      <c r="P8" t="s">
        <v>26</v>
      </c>
      <c r="Q8" t="s">
        <v>23</v>
      </c>
      <c r="R8" t="s">
        <v>27</v>
      </c>
      <c r="S8" t="s">
        <v>23</v>
      </c>
      <c r="T8" t="s">
        <v>27</v>
      </c>
      <c r="U8" t="s">
        <v>28</v>
      </c>
      <c r="V8" t="s">
        <v>29</v>
      </c>
      <c r="W8" t="s">
        <v>30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ht="28" customHeight="1">
      <c r="A9" s="5"/>
      <c r="B9" s="55"/>
      <c r="C9" s="58"/>
      <c r="D9" s="55"/>
      <c r="E9" s="58"/>
      <c r="F9"/>
      <c r="G9"/>
      <c r="H9" s="55"/>
      <c r="I9" s="77" t="str">
        <v>Unmeasured</v>
      </c>
      <c r="J9" s="73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28" customHeight="1">
      <c r="A10" s="9"/>
      <c r="B10" s="44"/>
      <c r="C10" s="47"/>
      <c r="D10" s="44"/>
      <c r="E10" s="47"/>
      <c r="F10"/>
      <c r="G10"/>
      <c r="H10" s="44"/>
      <c r="I10" s="74" t="str">
        <v>Type</v>
      </c>
      <c r="J10" s="72" t="str">
        <v>Details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>
      <c r="A11" t="s">
        <v>31</v>
      </c>
      <c r="B11"/>
      <c r="C11"/>
      <c r="D11"/>
      <c r="E11"/>
      <c r="F11"/>
      <c r="G11"/>
      <c r="H11"/>
      <c r="I11"/>
      <c r="J11" s="74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>
      <c r="A12"/>
      <c r="B12" t="s">
        <v>32</v>
      </c>
      <c r="C12">
        <v>2</v>
      </c>
      <c r="D12" t="s">
        <v>33</v>
      </c>
      <c r="E12">
        <v>2</v>
      </c>
      <c r="F12"/>
      <c r="G12"/>
      <c r="H12" t="str">
        <v>Cu Coil</v>
      </c>
      <c r="I12" t="str">
        <v>CUSTOM</v>
      </c>
      <c r="J12" s="74" t="str">
        <v>Cu Coil; amount not reported in the source workbook.</v>
      </c>
      <c r="K12" t="s">
        <v>34</v>
      </c>
      <c r="L12">
        <v>3</v>
      </c>
      <c r="M12"/>
      <c r="N12"/>
      <c r="O12" t="s">
        <v>35</v>
      </c>
      <c r="P12">
        <v>0.5</v>
      </c>
      <c r="Q12" t="s">
        <v>36</v>
      </c>
      <c r="R12">
        <v>95</v>
      </c>
      <c r="S12"/>
      <c r="T12"/>
      <c r="U12" t="s">
        <v>37</v>
      </c>
      <c r="V12">
        <v>90</v>
      </c>
      <c r="W12" t="n">
        <f>60*60</f>
        <v>3600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>
      <c r="A13"/>
      <c r="B13" t="s">
        <v>32</v>
      </c>
      <c r="C13">
        <v>2</v>
      </c>
      <c r="D13" t="s">
        <v>38</v>
      </c>
      <c r="E13">
        <v>2</v>
      </c>
      <c r="F13"/>
      <c r="G13"/>
      <c r="H13" t="str">
        <v>Cu Coil</v>
      </c>
      <c r="I13" t="str">
        <v>CUSTOM</v>
      </c>
      <c r="J13" s="74" t="str">
        <v>Cu Coil; amount not reported in the source workbook.</v>
      </c>
      <c r="K13" t="s">
        <v>34</v>
      </c>
      <c r="L13">
        <v>3</v>
      </c>
      <c r="M13"/>
      <c r="N13"/>
      <c r="O13" t="s">
        <v>35</v>
      </c>
      <c r="P13">
        <v>0</v>
      </c>
      <c r="Q13" t="s">
        <v>36</v>
      </c>
      <c r="R13">
        <v>0</v>
      </c>
      <c r="S13"/>
      <c r="T13"/>
      <c r="U13" t="s">
        <v>37</v>
      </c>
      <c r="V13">
        <v>90</v>
      </c>
      <c r="W13" t="n">
        <f>60*60</f>
        <v>3600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>
      <c r="A14"/>
      <c r="B14" t="s">
        <v>32</v>
      </c>
      <c r="C14">
        <v>2</v>
      </c>
      <c r="D14" t="s">
        <v>38</v>
      </c>
      <c r="E14">
        <v>2</v>
      </c>
      <c r="F14"/>
      <c r="G14"/>
      <c r="H14" t="str">
        <v>Cu Coil</v>
      </c>
      <c r="I14" t="str">
        <v>CUSTOM</v>
      </c>
      <c r="J14" s="74" t="str">
        <v>Cu Coil; amount not reported in the source workbook.</v>
      </c>
      <c r="K14" t="s">
        <v>34</v>
      </c>
      <c r="L14">
        <v>3</v>
      </c>
      <c r="M14"/>
      <c r="N14"/>
      <c r="O14" t="s">
        <v>35</v>
      </c>
      <c r="P14">
        <v>0.25</v>
      </c>
      <c r="Q14" t="s">
        <v>36</v>
      </c>
      <c r="R14">
        <v>91</v>
      </c>
      <c r="S14"/>
      <c r="T14"/>
      <c r="U14" t="s">
        <v>37</v>
      </c>
      <c r="V14">
        <v>90</v>
      </c>
      <c r="W14" t="n">
        <f>60*60</f>
        <v>3600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>
      <c r="A15"/>
      <c r="B15" t="s">
        <v>32</v>
      </c>
      <c r="C15">
        <v>2</v>
      </c>
      <c r="D15" t="s">
        <v>38</v>
      </c>
      <c r="E15">
        <v>2</v>
      </c>
      <c r="F15"/>
      <c r="G15"/>
      <c r="H15" t="str">
        <v>Cu Coil</v>
      </c>
      <c r="I15" t="str">
        <v>CUSTOM</v>
      </c>
      <c r="J15" s="74" t="str">
        <v>Cu Coil; amount not reported in the source workbook.</v>
      </c>
      <c r="K15" t="s">
        <v>34</v>
      </c>
      <c r="L15">
        <v>3</v>
      </c>
      <c r="M15"/>
      <c r="N15"/>
      <c r="O15" t="s">
        <v>35</v>
      </c>
      <c r="P15">
        <v>0.75</v>
      </c>
      <c r="Q15" t="s">
        <v>36</v>
      </c>
      <c r="R15">
        <v>95</v>
      </c>
      <c r="S15"/>
      <c r="T15"/>
      <c r="U15" t="s">
        <v>37</v>
      </c>
      <c r="V15">
        <v>90</v>
      </c>
      <c r="W15" t="n">
        <f>60*60</f>
        <v>3600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>
      <c r="A16"/>
      <c r="B16" t="s">
        <v>32</v>
      </c>
      <c r="C16">
        <v>2</v>
      </c>
      <c r="D16" t="s">
        <v>38</v>
      </c>
      <c r="E16">
        <v>2</v>
      </c>
      <c r="F16"/>
      <c r="G16"/>
      <c r="H16" t="str">
        <v>Cu Coil</v>
      </c>
      <c r="I16" t="str">
        <v>CUSTOM</v>
      </c>
      <c r="J16" s="74" t="str">
        <v>Cu Coil; amount not reported in the source workbook.</v>
      </c>
      <c r="K16" t="s">
        <v>34</v>
      </c>
      <c r="L16">
        <v>3</v>
      </c>
      <c r="M16"/>
      <c r="N16"/>
      <c r="O16" t="s">
        <v>35</v>
      </c>
      <c r="P16">
        <v>1</v>
      </c>
      <c r="Q16" t="s">
        <v>36</v>
      </c>
      <c r="R16">
        <v>95</v>
      </c>
      <c r="S16"/>
      <c r="T16"/>
      <c r="U16" t="s">
        <v>37</v>
      </c>
      <c r="V16">
        <v>90</v>
      </c>
      <c r="W16" t="n">
        <f>60*60</f>
        <v>3600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>
      <c r="A17"/>
      <c r="B17" t="s">
        <v>32</v>
      </c>
      <c r="C17">
        <v>2</v>
      </c>
      <c r="D17" t="s">
        <v>38</v>
      </c>
      <c r="E17">
        <v>2</v>
      </c>
      <c r="F17"/>
      <c r="G17"/>
      <c r="H17" t="str">
        <v>Cu Coil</v>
      </c>
      <c r="I17" t="str">
        <v>CUSTOM</v>
      </c>
      <c r="J17" s="74" t="str">
        <v>Cu Coil; amount not reported in the source workbook.</v>
      </c>
      <c r="K17" t="s">
        <v>34</v>
      </c>
      <c r="L17">
        <v>3</v>
      </c>
      <c r="M17"/>
      <c r="N17"/>
      <c r="O17" t="s">
        <v>35</v>
      </c>
      <c r="P17">
        <v>1.25</v>
      </c>
      <c r="Q17" t="s">
        <v>36</v>
      </c>
      <c r="R17">
        <v>95</v>
      </c>
      <c r="S17"/>
      <c r="T17"/>
      <c r="U17" t="s">
        <v>37</v>
      </c>
      <c r="V17">
        <v>90</v>
      </c>
      <c r="W17" t="n">
        <f>60*60</f>
        <v>3600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>
      <c r="A18"/>
      <c r="B18" t="s">
        <v>32</v>
      </c>
      <c r="C18">
        <v>2</v>
      </c>
      <c r="D18" t="s">
        <v>38</v>
      </c>
      <c r="E18">
        <v>2</v>
      </c>
      <c r="F18"/>
      <c r="G18"/>
      <c r="H18" t="str">
        <v>Cu Coil</v>
      </c>
      <c r="I18" t="str">
        <v>CUSTOM</v>
      </c>
      <c r="J18" s="74" t="str">
        <v>Cu Coil; amount not reported in the source workbook.</v>
      </c>
      <c r="K18" t="s">
        <v>34</v>
      </c>
      <c r="L18">
        <v>3</v>
      </c>
      <c r="M18"/>
      <c r="N18"/>
      <c r="O18" t="s">
        <v>39</v>
      </c>
      <c r="P18">
        <v>0</v>
      </c>
      <c r="Q18" t="s">
        <v>36</v>
      </c>
      <c r="R18">
        <v>0</v>
      </c>
      <c r="S18"/>
      <c r="T18"/>
      <c r="U18" t="s">
        <v>37</v>
      </c>
      <c r="V18">
        <v>90</v>
      </c>
      <c r="W18" t="n">
        <f>60*60</f>
        <v>3600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>
      <c r="A19"/>
      <c r="B19" t="s">
        <v>32</v>
      </c>
      <c r="C19">
        <v>2</v>
      </c>
      <c r="D19" t="s">
        <v>38</v>
      </c>
      <c r="E19">
        <v>2</v>
      </c>
      <c r="F19"/>
      <c r="G19"/>
      <c r="H19" t="str">
        <v>Cu Coil</v>
      </c>
      <c r="I19" t="str">
        <v>CUSTOM</v>
      </c>
      <c r="J19" s="74" t="str">
        <v>Cu Coil; amount not reported in the source workbook.</v>
      </c>
      <c r="K19" t="s">
        <v>34</v>
      </c>
      <c r="L19">
        <v>3</v>
      </c>
      <c r="M19"/>
      <c r="N19"/>
      <c r="O19" t="s">
        <v>39</v>
      </c>
      <c r="P19">
        <v>0.25</v>
      </c>
      <c r="Q19" t="s">
        <v>36</v>
      </c>
      <c r="R19">
        <v>23</v>
      </c>
      <c r="S19"/>
      <c r="T19"/>
      <c r="U19" t="s">
        <v>37</v>
      </c>
      <c r="V19">
        <v>90</v>
      </c>
      <c r="W19" t="n">
        <f>60*60</f>
        <v>3600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>
      <c r="A20"/>
      <c r="B20" t="s">
        <v>32</v>
      </c>
      <c r="C20">
        <v>2</v>
      </c>
      <c r="D20" t="s">
        <v>38</v>
      </c>
      <c r="E20">
        <v>2</v>
      </c>
      <c r="F20"/>
      <c r="G20"/>
      <c r="H20" t="str">
        <v>Cu Coil</v>
      </c>
      <c r="I20" t="str">
        <v>CUSTOM</v>
      </c>
      <c r="J20" s="74" t="str">
        <v>Cu Coil; amount not reported in the source workbook.</v>
      </c>
      <c r="K20" t="s">
        <v>34</v>
      </c>
      <c r="L20">
        <v>3</v>
      </c>
      <c r="M20"/>
      <c r="N20"/>
      <c r="O20" t="s">
        <v>39</v>
      </c>
      <c r="P20">
        <v>0.5</v>
      </c>
      <c r="Q20" t="s">
        <v>36</v>
      </c>
      <c r="R20">
        <v>82</v>
      </c>
      <c r="S20"/>
      <c r="T20"/>
      <c r="U20" t="s">
        <v>37</v>
      </c>
      <c r="V20">
        <v>90</v>
      </c>
      <c r="W20" t="n">
        <f>60*60</f>
        <v>3600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>
      <c r="A21"/>
      <c r="B21" t="s">
        <v>32</v>
      </c>
      <c r="C21">
        <v>2</v>
      </c>
      <c r="D21" t="s">
        <v>38</v>
      </c>
      <c r="E21">
        <v>2</v>
      </c>
      <c r="F21"/>
      <c r="G21"/>
      <c r="H21" t="str">
        <v>Cu Coil</v>
      </c>
      <c r="I21" t="str">
        <v>CUSTOM</v>
      </c>
      <c r="J21" s="74" t="str">
        <v>Cu Coil; amount not reported in the source workbook.</v>
      </c>
      <c r="K21" t="s">
        <v>34</v>
      </c>
      <c r="L21">
        <v>3</v>
      </c>
      <c r="M21"/>
      <c r="N21"/>
      <c r="O21" t="s">
        <v>39</v>
      </c>
      <c r="P21">
        <v>0.75</v>
      </c>
      <c r="Q21" t="s">
        <v>36</v>
      </c>
      <c r="R21">
        <v>49</v>
      </c>
      <c r="S21"/>
      <c r="T21"/>
      <c r="U21" t="s">
        <v>37</v>
      </c>
      <c r="V21">
        <v>90</v>
      </c>
      <c r="W21" t="n">
        <f>60*60</f>
        <v>3600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>
      <c r="A22"/>
      <c r="B22" t="s">
        <v>32</v>
      </c>
      <c r="C22">
        <v>2</v>
      </c>
      <c r="D22" t="s">
        <v>38</v>
      </c>
      <c r="E22">
        <v>2</v>
      </c>
      <c r="F22"/>
      <c r="G22"/>
      <c r="H22" t="str">
        <v>Cu Coil</v>
      </c>
      <c r="I22" t="str">
        <v>CUSTOM</v>
      </c>
      <c r="J22" s="74" t="str">
        <v>Cu Coil; amount not reported in the source workbook.</v>
      </c>
      <c r="K22" t="s">
        <v>34</v>
      </c>
      <c r="L22">
        <v>3</v>
      </c>
      <c r="M22"/>
      <c r="N22"/>
      <c r="O22" t="s">
        <v>39</v>
      </c>
      <c r="P22">
        <v>1</v>
      </c>
      <c r="Q22" t="s">
        <v>36</v>
      </c>
      <c r="R22">
        <v>47</v>
      </c>
      <c r="S22"/>
      <c r="T22"/>
      <c r="U22" t="s">
        <v>37</v>
      </c>
      <c r="V22">
        <v>90</v>
      </c>
      <c r="W22" t="n">
        <f>60*60</f>
        <v>3600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>
      <c r="A23"/>
      <c r="B23" t="s">
        <v>32</v>
      </c>
      <c r="C23">
        <v>2</v>
      </c>
      <c r="D23" t="s">
        <v>38</v>
      </c>
      <c r="E23">
        <v>2</v>
      </c>
      <c r="F23"/>
      <c r="G23"/>
      <c r="H23" t="str">
        <v>Cu Coil</v>
      </c>
      <c r="I23" t="str">
        <v>CUSTOM</v>
      </c>
      <c r="J23" s="74" t="str">
        <v>Cu Coil; amount not reported in the source workbook.</v>
      </c>
      <c r="K23" t="s">
        <v>34</v>
      </c>
      <c r="L23">
        <v>3</v>
      </c>
      <c r="M23"/>
      <c r="N23"/>
      <c r="O23" t="s">
        <v>39</v>
      </c>
      <c r="P23">
        <v>1.25</v>
      </c>
      <c r="Q23" t="s">
        <v>36</v>
      </c>
      <c r="R23">
        <v>44</v>
      </c>
      <c r="S23"/>
      <c r="T23"/>
      <c r="U23" t="s">
        <v>37</v>
      </c>
      <c r="V23">
        <v>90</v>
      </c>
      <c r="W23" t="n">
        <f>60*60</f>
        <v>3600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>
      <c r="A24"/>
      <c r="B24" t="s">
        <v>32</v>
      </c>
      <c r="C24">
        <v>2</v>
      </c>
      <c r="D24" t="s">
        <v>38</v>
      </c>
      <c r="E24">
        <v>2</v>
      </c>
      <c r="F24"/>
      <c r="G24"/>
      <c r="H24" t="str">
        <v>Cu Coil</v>
      </c>
      <c r="I24" t="str">
        <v>CUSTOM</v>
      </c>
      <c r="J24" s="74" t="str">
        <v>Cu Coil; amount not reported in the source workbook.</v>
      </c>
      <c r="K24" t="s">
        <v>34</v>
      </c>
      <c r="L24">
        <v>3</v>
      </c>
      <c r="M24"/>
      <c r="N24"/>
      <c r="O24" t="s">
        <v>40</v>
      </c>
      <c r="P24">
        <v>0</v>
      </c>
      <c r="Q24" t="s">
        <v>36</v>
      </c>
      <c r="R24">
        <v>0</v>
      </c>
      <c r="S24"/>
      <c r="T24"/>
      <c r="U24" t="s">
        <v>37</v>
      </c>
      <c r="V24">
        <v>90</v>
      </c>
      <c r="W24" t="n">
        <f>60*60</f>
        <v>3600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>
      <c r="A25"/>
      <c r="B25" t="s">
        <v>32</v>
      </c>
      <c r="C25">
        <v>2</v>
      </c>
      <c r="D25" t="s">
        <v>38</v>
      </c>
      <c r="E25">
        <v>2</v>
      </c>
      <c r="F25"/>
      <c r="G25"/>
      <c r="H25" t="str">
        <v>Cu Coil</v>
      </c>
      <c r="I25" t="str">
        <v>CUSTOM</v>
      </c>
      <c r="J25" s="74" t="str">
        <v>Cu Coil; amount not reported in the source workbook.</v>
      </c>
      <c r="K25" t="s">
        <v>34</v>
      </c>
      <c r="L25">
        <v>3</v>
      </c>
      <c r="M25"/>
      <c r="N25"/>
      <c r="O25" t="s">
        <v>40</v>
      </c>
      <c r="P25">
        <v>0.25</v>
      </c>
      <c r="Q25" t="s">
        <v>36</v>
      </c>
      <c r="R25">
        <v>17</v>
      </c>
      <c r="S25"/>
      <c r="T25"/>
      <c r="U25" t="s">
        <v>37</v>
      </c>
      <c r="V25">
        <v>90</v>
      </c>
      <c r="W25" t="n">
        <f>60*60</f>
        <v>3600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>
      <c r="A26"/>
      <c r="B26" t="s">
        <v>32</v>
      </c>
      <c r="C26">
        <v>2</v>
      </c>
      <c r="D26" t="s">
        <v>38</v>
      </c>
      <c r="E26">
        <v>2</v>
      </c>
      <c r="F26"/>
      <c r="G26"/>
      <c r="H26" t="str">
        <v>Cu Coil</v>
      </c>
      <c r="I26" t="str">
        <v>CUSTOM</v>
      </c>
      <c r="J26" s="74" t="str">
        <v>Cu Coil; amount not reported in the source workbook.</v>
      </c>
      <c r="K26" t="s">
        <v>34</v>
      </c>
      <c r="L26">
        <v>3</v>
      </c>
      <c r="M26"/>
      <c r="N26"/>
      <c r="O26" t="s">
        <v>40</v>
      </c>
      <c r="P26">
        <v>0.5</v>
      </c>
      <c r="Q26" t="s">
        <v>36</v>
      </c>
      <c r="R26">
        <v>32</v>
      </c>
      <c r="S26"/>
      <c r="T26"/>
      <c r="U26" t="s">
        <v>37</v>
      </c>
      <c r="V26">
        <v>90</v>
      </c>
      <c r="W26" t="n">
        <f>60*60</f>
        <v>3600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>
      <c r="A27"/>
      <c r="B27" t="s">
        <v>32</v>
      </c>
      <c r="C27">
        <v>2</v>
      </c>
      <c r="D27" t="s">
        <v>38</v>
      </c>
      <c r="E27">
        <v>2</v>
      </c>
      <c r="F27"/>
      <c r="G27"/>
      <c r="H27" t="str">
        <v>Cu Coil</v>
      </c>
      <c r="I27" t="str">
        <v>CUSTOM</v>
      </c>
      <c r="J27" s="74" t="str">
        <v>Cu Coil; amount not reported in the source workbook.</v>
      </c>
      <c r="K27" t="s">
        <v>34</v>
      </c>
      <c r="L27">
        <v>3</v>
      </c>
      <c r="M27"/>
      <c r="N27"/>
      <c r="O27" t="s">
        <v>40</v>
      </c>
      <c r="P27">
        <v>0.75</v>
      </c>
      <c r="Q27" t="s">
        <v>36</v>
      </c>
      <c r="R27">
        <v>5</v>
      </c>
      <c r="S27"/>
      <c r="T27"/>
      <c r="U27" t="s">
        <v>37</v>
      </c>
      <c r="V27">
        <v>90</v>
      </c>
      <c r="W27" t="n">
        <f>60*60</f>
        <v>3600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>
      <c r="A28"/>
      <c r="B28" t="s">
        <v>32</v>
      </c>
      <c r="C28">
        <v>2</v>
      </c>
      <c r="D28" t="s">
        <v>38</v>
      </c>
      <c r="E28">
        <v>2</v>
      </c>
      <c r="F28"/>
      <c r="G28"/>
      <c r="H28" t="str">
        <v>Cu Coil</v>
      </c>
      <c r="I28" t="str">
        <v>CUSTOM</v>
      </c>
      <c r="J28" s="74" t="str">
        <v>Cu Coil; amount not reported in the source workbook.</v>
      </c>
      <c r="K28" t="s">
        <v>34</v>
      </c>
      <c r="L28">
        <v>3</v>
      </c>
      <c r="M28"/>
      <c r="N28"/>
      <c r="O28" t="s">
        <v>40</v>
      </c>
      <c r="P28">
        <v>1</v>
      </c>
      <c r="Q28" t="s">
        <v>36</v>
      </c>
      <c r="R28">
        <v>9</v>
      </c>
      <c r="S28"/>
      <c r="T28"/>
      <c r="U28" t="s">
        <v>37</v>
      </c>
      <c r="V28">
        <v>90</v>
      </c>
      <c r="W28" t="n">
        <f>60*60</f>
        <v>3600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>
      <c r="A29"/>
      <c r="B29" t="s">
        <v>32</v>
      </c>
      <c r="C29">
        <v>2</v>
      </c>
      <c r="D29" t="s">
        <v>38</v>
      </c>
      <c r="E29">
        <v>2</v>
      </c>
      <c r="F29"/>
      <c r="G29"/>
      <c r="H29" t="str">
        <v>Cu Coil</v>
      </c>
      <c r="I29" t="str">
        <v>CUSTOM</v>
      </c>
      <c r="J29" s="74" t="str">
        <v>Cu Coil; amount not reported in the source workbook.</v>
      </c>
      <c r="K29" t="s">
        <v>34</v>
      </c>
      <c r="L29">
        <v>3</v>
      </c>
      <c r="M29"/>
      <c r="N29"/>
      <c r="O29" t="s">
        <v>40</v>
      </c>
      <c r="P29">
        <v>1.25</v>
      </c>
      <c r="Q29" t="s">
        <v>36</v>
      </c>
      <c r="R29">
        <v>7</v>
      </c>
      <c r="S29"/>
      <c r="T29"/>
      <c r="U29" t="s">
        <v>37</v>
      </c>
      <c r="V29">
        <v>90</v>
      </c>
      <c r="W29" t="n">
        <f>60*60</f>
        <v>3600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>
      <c r="A30"/>
      <c r="B30" t="s">
        <v>32</v>
      </c>
      <c r="C30">
        <v>2</v>
      </c>
      <c r="D30" t="s">
        <v>38</v>
      </c>
      <c r="E30">
        <v>2</v>
      </c>
      <c r="F30"/>
      <c r="G30"/>
      <c r="H30" t="str">
        <v>Cu Coil</v>
      </c>
      <c r="I30" t="str">
        <v>CUSTOM</v>
      </c>
      <c r="J30" s="74" t="str">
        <v>Cu Coil; amount not reported in the source workbook.</v>
      </c>
      <c r="K30" t="s">
        <v>34</v>
      </c>
      <c r="L30">
        <v>3</v>
      </c>
      <c r="M30" t="s">
        <v>35</v>
      </c>
      <c r="N30">
        <v>0</v>
      </c>
      <c r="O30" t="s">
        <v>40</v>
      </c>
      <c r="P30">
        <v>0</v>
      </c>
      <c r="Q30" t="s">
        <v>36</v>
      </c>
      <c r="R30">
        <v>0</v>
      </c>
      <c r="S30"/>
      <c r="T30"/>
      <c r="U30" t="s">
        <v>37</v>
      </c>
      <c r="V30">
        <v>90</v>
      </c>
      <c r="W30" t="n">
        <f>60*60</f>
        <v>3600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>
      <c r="A31"/>
      <c r="B31" t="s">
        <v>32</v>
      </c>
      <c r="C31">
        <v>2</v>
      </c>
      <c r="D31" t="s">
        <v>38</v>
      </c>
      <c r="E31">
        <v>2</v>
      </c>
      <c r="F31"/>
      <c r="G31"/>
      <c r="H31" t="str">
        <v>Cu Coil</v>
      </c>
      <c r="I31" t="str">
        <v>CUSTOM</v>
      </c>
      <c r="J31" s="74" t="str">
        <v>Cu Coil; amount not reported in the source workbook.</v>
      </c>
      <c r="K31" t="s">
        <v>34</v>
      </c>
      <c r="L31">
        <v>3</v>
      </c>
      <c r="M31" t="s">
        <v>35</v>
      </c>
      <c r="N31">
        <v>0.125</v>
      </c>
      <c r="O31" t="s">
        <v>40</v>
      </c>
      <c r="P31">
        <v>0.125</v>
      </c>
      <c r="Q31" t="s">
        <v>36</v>
      </c>
      <c r="R31">
        <v>5</v>
      </c>
      <c r="S31"/>
      <c r="T31"/>
      <c r="U31" t="s">
        <v>37</v>
      </c>
      <c r="V31">
        <v>90</v>
      </c>
      <c r="W31" t="n">
        <f>60*60</f>
        <v>3600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>
      <c r="A32"/>
      <c r="B32" t="s">
        <v>32</v>
      </c>
      <c r="C32">
        <v>2</v>
      </c>
      <c r="D32" t="s">
        <v>38</v>
      </c>
      <c r="E32">
        <v>2</v>
      </c>
      <c r="F32"/>
      <c r="G32"/>
      <c r="H32" t="str">
        <v>Cu Coil</v>
      </c>
      <c r="I32" t="str">
        <v>CUSTOM</v>
      </c>
      <c r="J32" s="74" t="str">
        <v>Cu Coil; amount not reported in the source workbook.</v>
      </c>
      <c r="K32" t="s">
        <v>34</v>
      </c>
      <c r="L32">
        <v>3</v>
      </c>
      <c r="M32" t="s">
        <v>35</v>
      </c>
      <c r="N32">
        <v>0.25</v>
      </c>
      <c r="O32" t="s">
        <v>40</v>
      </c>
      <c r="P32">
        <v>0.25</v>
      </c>
      <c r="Q32" t="s">
        <v>36</v>
      </c>
      <c r="R32">
        <v>5</v>
      </c>
      <c r="S32"/>
      <c r="T32"/>
      <c r="U32" t="s">
        <v>37</v>
      </c>
      <c r="V32">
        <v>90</v>
      </c>
      <c r="W32" t="n">
        <f>60*60</f>
        <v>3600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>
      <c r="A33"/>
      <c r="B33" t="s">
        <v>32</v>
      </c>
      <c r="C33">
        <v>2</v>
      </c>
      <c r="D33" t="s">
        <v>38</v>
      </c>
      <c r="E33">
        <v>2</v>
      </c>
      <c r="F33"/>
      <c r="G33"/>
      <c r="H33" t="str">
        <v>Cu Coil</v>
      </c>
      <c r="I33" t="str">
        <v>CUSTOM</v>
      </c>
      <c r="J33" s="74" t="str">
        <v>Cu Coil; amount not reported in the source workbook.</v>
      </c>
      <c r="K33" t="s">
        <v>34</v>
      </c>
      <c r="L33">
        <v>3</v>
      </c>
      <c r="M33" t="s">
        <v>35</v>
      </c>
      <c r="N33">
        <v>0.375</v>
      </c>
      <c r="O33" t="s">
        <v>40</v>
      </c>
      <c r="P33">
        <v>0.375</v>
      </c>
      <c r="Q33" t="s">
        <v>36</v>
      </c>
      <c r="R33">
        <v>6</v>
      </c>
      <c r="S33"/>
      <c r="T33"/>
      <c r="U33" t="s">
        <v>37</v>
      </c>
      <c r="V33">
        <v>90</v>
      </c>
      <c r="W33" t="n">
        <f>60*60</f>
        <v>3600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>
      <c r="A34"/>
      <c r="B34" t="s">
        <v>32</v>
      </c>
      <c r="C34">
        <v>2</v>
      </c>
      <c r="D34" t="s">
        <v>38</v>
      </c>
      <c r="E34">
        <v>2</v>
      </c>
      <c r="F34"/>
      <c r="G34"/>
      <c r="H34" t="str">
        <v>Cu Coil</v>
      </c>
      <c r="I34" t="str">
        <v>CUSTOM</v>
      </c>
      <c r="J34" s="74" t="str">
        <v>Cu Coil; amount not reported in the source workbook.</v>
      </c>
      <c r="K34" t="s">
        <v>34</v>
      </c>
      <c r="L34">
        <v>3</v>
      </c>
      <c r="M34" t="s">
        <v>35</v>
      </c>
      <c r="N34">
        <v>0.5</v>
      </c>
      <c r="O34" t="s">
        <v>40</v>
      </c>
      <c r="P34">
        <v>0.5</v>
      </c>
      <c r="Q34" t="s">
        <v>36</v>
      </c>
      <c r="R34">
        <v>9</v>
      </c>
      <c r="S34"/>
      <c r="T34"/>
      <c r="U34" t="s">
        <v>37</v>
      </c>
      <c r="V34">
        <v>90</v>
      </c>
      <c r="W34" t="n">
        <f>60*60</f>
        <v>3600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>
      <c r="A35"/>
      <c r="B35" t="s">
        <v>32</v>
      </c>
      <c r="C35">
        <v>2</v>
      </c>
      <c r="D35" t="s">
        <v>38</v>
      </c>
      <c r="E35">
        <v>2</v>
      </c>
      <c r="F35"/>
      <c r="G35"/>
      <c r="H35" t="str">
        <v>Cu Coil</v>
      </c>
      <c r="I35" t="str">
        <v>CUSTOM</v>
      </c>
      <c r="J35" s="74" t="str">
        <v>Cu Coil; amount not reported in the source workbook.</v>
      </c>
      <c r="K35" t="s">
        <v>34</v>
      </c>
      <c r="L35">
        <v>3</v>
      </c>
      <c r="M35" t="s">
        <v>35</v>
      </c>
      <c r="N35">
        <v>0.625</v>
      </c>
      <c r="O35" t="s">
        <v>40</v>
      </c>
      <c r="P35">
        <v>0.625</v>
      </c>
      <c r="Q35" t="s">
        <v>36</v>
      </c>
      <c r="R35">
        <v>9</v>
      </c>
      <c r="S35"/>
      <c r="T35"/>
      <c r="U35" t="s">
        <v>37</v>
      </c>
      <c r="V35">
        <v>90</v>
      </c>
      <c r="W35" t="n">
        <f>60*60</f>
        <v>3600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>
      <c r="A36"/>
      <c r="B36" t="s">
        <v>32</v>
      </c>
      <c r="C36">
        <v>2</v>
      </c>
      <c r="D36" t="s">
        <v>38</v>
      </c>
      <c r="E36">
        <v>2</v>
      </c>
      <c r="F36"/>
      <c r="G36"/>
      <c r="H36" t="str">
        <v>Cu Coil</v>
      </c>
      <c r="I36" t="str">
        <v>CUSTOM</v>
      </c>
      <c r="J36" s="74" t="str">
        <v>Cu Coil; amount not reported in the source workbook.</v>
      </c>
      <c r="K36" t="s">
        <v>34</v>
      </c>
      <c r="L36">
        <v>3</v>
      </c>
      <c r="M36" t="s">
        <v>35</v>
      </c>
      <c r="N36">
        <v>0</v>
      </c>
      <c r="O36" t="s">
        <v>39</v>
      </c>
      <c r="P36">
        <v>0</v>
      </c>
      <c r="Q36" t="s">
        <v>36</v>
      </c>
      <c r="R36">
        <v>0</v>
      </c>
      <c r="S36"/>
      <c r="T36"/>
      <c r="U36" t="s">
        <v>37</v>
      </c>
      <c r="V36">
        <v>90</v>
      </c>
      <c r="W36" t="n">
        <f>60*60</f>
        <v>3600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>
      <c r="A37"/>
      <c r="B37" t="s">
        <v>32</v>
      </c>
      <c r="C37">
        <v>2</v>
      </c>
      <c r="D37" t="s">
        <v>38</v>
      </c>
      <c r="E37">
        <v>2</v>
      </c>
      <c r="F37"/>
      <c r="G37"/>
      <c r="H37" t="str">
        <v>Cu Coil</v>
      </c>
      <c r="I37" t="str">
        <v>CUSTOM</v>
      </c>
      <c r="J37" s="74" t="str">
        <v>Cu Coil; amount not reported in the source workbook.</v>
      </c>
      <c r="K37" t="s">
        <v>34</v>
      </c>
      <c r="L37">
        <v>3</v>
      </c>
      <c r="M37" t="s">
        <v>35</v>
      </c>
      <c r="N37">
        <v>0.125</v>
      </c>
      <c r="O37" t="s">
        <v>39</v>
      </c>
      <c r="P37">
        <v>0.125</v>
      </c>
      <c r="Q37" t="s">
        <v>36</v>
      </c>
      <c r="R37">
        <v>23</v>
      </c>
      <c r="S37"/>
      <c r="T37"/>
      <c r="U37" t="s">
        <v>37</v>
      </c>
      <c r="V37">
        <v>90</v>
      </c>
      <c r="W37" t="n">
        <f>60*60</f>
        <v>3600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>
      <c r="A38"/>
      <c r="B38" t="s">
        <v>32</v>
      </c>
      <c r="C38">
        <v>2</v>
      </c>
      <c r="D38" t="s">
        <v>38</v>
      </c>
      <c r="E38">
        <v>2</v>
      </c>
      <c r="F38"/>
      <c r="G38"/>
      <c r="H38" t="str">
        <v>Cu Coil</v>
      </c>
      <c r="I38" t="str">
        <v>CUSTOM</v>
      </c>
      <c r="J38" s="74" t="str">
        <v>Cu Coil; amount not reported in the source workbook.</v>
      </c>
      <c r="K38" t="s">
        <v>34</v>
      </c>
      <c r="L38">
        <v>3</v>
      </c>
      <c r="M38" t="s">
        <v>35</v>
      </c>
      <c r="N38">
        <v>0.25</v>
      </c>
      <c r="O38" t="s">
        <v>39</v>
      </c>
      <c r="P38">
        <v>0.25</v>
      </c>
      <c r="Q38" t="s">
        <v>36</v>
      </c>
      <c r="R38">
        <v>82</v>
      </c>
      <c r="S38"/>
      <c r="T38"/>
      <c r="U38" t="s">
        <v>37</v>
      </c>
      <c r="V38">
        <v>90</v>
      </c>
      <c r="W38" t="n">
        <f>60*60</f>
        <v>3600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>
      <c r="A39"/>
      <c r="B39" t="s">
        <v>32</v>
      </c>
      <c r="C39">
        <v>2</v>
      </c>
      <c r="D39" t="s">
        <v>38</v>
      </c>
      <c r="E39">
        <v>2</v>
      </c>
      <c r="F39"/>
      <c r="G39"/>
      <c r="H39" t="str">
        <v>Cu Coil</v>
      </c>
      <c r="I39" t="str">
        <v>CUSTOM</v>
      </c>
      <c r="J39" s="74" t="str">
        <v>Cu Coil; amount not reported in the source workbook.</v>
      </c>
      <c r="K39" t="s">
        <v>34</v>
      </c>
      <c r="L39">
        <v>3</v>
      </c>
      <c r="M39" t="s">
        <v>35</v>
      </c>
      <c r="N39">
        <v>0.375</v>
      </c>
      <c r="O39" t="s">
        <v>39</v>
      </c>
      <c r="P39">
        <v>0.375</v>
      </c>
      <c r="Q39" t="s">
        <v>36</v>
      </c>
      <c r="R39">
        <v>49</v>
      </c>
      <c r="S39"/>
      <c r="T39"/>
      <c r="U39" t="s">
        <v>37</v>
      </c>
      <c r="V39">
        <v>90</v>
      </c>
      <c r="W39" t="n">
        <f>60*60</f>
        <v>3600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>
      <c r="A40"/>
      <c r="B40" t="s">
        <v>32</v>
      </c>
      <c r="C40">
        <v>2</v>
      </c>
      <c r="D40" t="s">
        <v>38</v>
      </c>
      <c r="E40">
        <v>2</v>
      </c>
      <c r="F40"/>
      <c r="G40"/>
      <c r="H40" t="str">
        <v>Cu Coil</v>
      </c>
      <c r="I40" t="str">
        <v>CUSTOM</v>
      </c>
      <c r="J40" s="74" t="str">
        <v>Cu Coil; amount not reported in the source workbook.</v>
      </c>
      <c r="K40" t="s">
        <v>34</v>
      </c>
      <c r="L40">
        <v>3</v>
      </c>
      <c r="M40" t="s">
        <v>35</v>
      </c>
      <c r="N40">
        <v>0.5</v>
      </c>
      <c r="O40" t="s">
        <v>39</v>
      </c>
      <c r="P40">
        <v>0.5</v>
      </c>
      <c r="Q40" t="s">
        <v>36</v>
      </c>
      <c r="R40">
        <v>47</v>
      </c>
      <c r="S40"/>
      <c r="T40"/>
      <c r="U40" t="s">
        <v>37</v>
      </c>
      <c r="V40">
        <v>90</v>
      </c>
      <c r="W40" t="n">
        <f>60*60</f>
        <v>3600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>
      <c r="A41"/>
      <c r="B41" t="s">
        <v>32</v>
      </c>
      <c r="C41">
        <v>2</v>
      </c>
      <c r="D41" t="s">
        <v>38</v>
      </c>
      <c r="E41">
        <v>2</v>
      </c>
      <c r="F41"/>
      <c r="G41"/>
      <c r="H41" t="str">
        <v>Cu Coil</v>
      </c>
      <c r="I41" t="str">
        <v>CUSTOM</v>
      </c>
      <c r="J41" s="74" t="str">
        <v>Cu Coil; amount not reported in the source workbook.</v>
      </c>
      <c r="K41" t="s">
        <v>34</v>
      </c>
      <c r="L41">
        <v>3</v>
      </c>
      <c r="M41" t="s">
        <v>35</v>
      </c>
      <c r="N41">
        <v>0.625</v>
      </c>
      <c r="O41" t="s">
        <v>39</v>
      </c>
      <c r="P41">
        <v>0.625</v>
      </c>
      <c r="Q41" t="s">
        <v>36</v>
      </c>
      <c r="R41">
        <v>44</v>
      </c>
      <c r="S41"/>
      <c r="T41"/>
      <c r="U41" t="s">
        <v>37</v>
      </c>
      <c r="V41">
        <v>90</v>
      </c>
      <c r="W41" t="n">
        <f>60*60</f>
        <v>3600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>
      <c r="A42"/>
      <c r="B42" t="s">
        <v>32</v>
      </c>
      <c r="C42">
        <v>2</v>
      </c>
      <c r="D42" t="s">
        <v>38</v>
      </c>
      <c r="E42">
        <v>2</v>
      </c>
      <c r="F42"/>
      <c r="G42"/>
      <c r="H42" t="str">
        <v>CuCl</v>
      </c>
      <c r="I42" t="str">
        <v>CUSTOM</v>
      </c>
      <c r="J42" s="74" t="str">
        <v>CuCl; amount not reported in the source workbook.</v>
      </c>
      <c r="K42" t="s">
        <v>34</v>
      </c>
      <c r="L42">
        <v>3</v>
      </c>
      <c r="M42"/>
      <c r="N42"/>
      <c r="O42" t="s">
        <v>35</v>
      </c>
      <c r="P42">
        <v>0.5</v>
      </c>
      <c r="Q42" t="s">
        <v>36</v>
      </c>
      <c r="R42">
        <v>31</v>
      </c>
      <c r="S42"/>
      <c r="T42"/>
      <c r="U42" t="s">
        <v>37</v>
      </c>
      <c r="V42">
        <v>90</v>
      </c>
      <c r="W42" t="n">
        <f>60*60</f>
        <v>3600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>
      <c r="A43"/>
      <c r="B43" t="s">
        <v>32</v>
      </c>
      <c r="C43">
        <v>2</v>
      </c>
      <c r="D43" t="s">
        <v>38</v>
      </c>
      <c r="E43">
        <v>2</v>
      </c>
      <c r="F43"/>
      <c r="G43"/>
      <c r="H43" t="str">
        <v>CuO</v>
      </c>
      <c r="I43" t="str">
        <v>CUSTOM</v>
      </c>
      <c r="J43" s="74" t="str">
        <v>CuO; amount not reported in the source workbook.</v>
      </c>
      <c r="K43" t="s">
        <v>34</v>
      </c>
      <c r="L43">
        <v>3</v>
      </c>
      <c r="M43"/>
      <c r="N43"/>
      <c r="O43" t="s">
        <v>35</v>
      </c>
      <c r="P43">
        <v>0.5</v>
      </c>
      <c r="Q43" t="s">
        <v>36</v>
      </c>
      <c r="R43">
        <v>0</v>
      </c>
      <c r="S43"/>
      <c r="T43"/>
      <c r="U43" t="s">
        <v>37</v>
      </c>
      <c r="V43">
        <v>90</v>
      </c>
      <c r="W43" t="n">
        <f>60*60</f>
        <v>3600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>
      <c r="A44"/>
      <c r="B44" t="s">
        <v>32</v>
      </c>
      <c r="C44">
        <v>2</v>
      </c>
      <c r="D44" t="s">
        <v>38</v>
      </c>
      <c r="E44">
        <v>2</v>
      </c>
      <c r="F44"/>
      <c r="G44"/>
      <c r="H44" t="str">
        <v>Cu2O</v>
      </c>
      <c r="I44" t="str">
        <v>CUSTOM</v>
      </c>
      <c r="J44" s="74" t="str">
        <v>Cu2O; amount not reported in the source workbook.</v>
      </c>
      <c r="K44" t="s">
        <v>34</v>
      </c>
      <c r="L44">
        <v>3</v>
      </c>
      <c r="M44"/>
      <c r="N44"/>
      <c r="O44" t="s">
        <v>35</v>
      </c>
      <c r="P44">
        <v>0.5</v>
      </c>
      <c r="Q44" t="s">
        <v>36</v>
      </c>
      <c r="R44">
        <v>23</v>
      </c>
      <c r="S44"/>
      <c r="T44"/>
      <c r="U44" t="s">
        <v>37</v>
      </c>
      <c r="V44">
        <v>90</v>
      </c>
      <c r="W44" t="n">
        <f>60*60</f>
        <v>3600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>
      <c r="A45"/>
      <c r="B45" t="s">
        <v>32</v>
      </c>
      <c r="C45">
        <v>2</v>
      </c>
      <c r="D45" t="s">
        <v>38</v>
      </c>
      <c r="E45">
        <v>2</v>
      </c>
      <c r="F45"/>
      <c r="G45"/>
      <c r="H45" t="str">
        <v>Cu(OAc)2 • H2O</v>
      </c>
      <c r="I45" t="str">
        <v>CUSTOM</v>
      </c>
      <c r="J45" s="74" t="str">
        <v>Cu(OAc)2 • H2O; amount not reported in the source workbook.</v>
      </c>
      <c r="K45" t="s">
        <v>34</v>
      </c>
      <c r="L45">
        <v>3</v>
      </c>
      <c r="M45"/>
      <c r="N45"/>
      <c r="O45" t="s">
        <v>35</v>
      </c>
      <c r="P45">
        <v>0.5</v>
      </c>
      <c r="Q45" t="s">
        <v>36</v>
      </c>
      <c r="R45">
        <v>26</v>
      </c>
      <c r="S45"/>
      <c r="T45"/>
      <c r="U45" t="s">
        <v>37</v>
      </c>
      <c r="V45">
        <v>90</v>
      </c>
      <c r="W45" t="n">
        <f>60*60</f>
        <v>3600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>
      <c r="A46"/>
      <c r="B46" t="s">
        <v>32</v>
      </c>
      <c r="C46">
        <v>2</v>
      </c>
      <c r="D46" t="s">
        <v>38</v>
      </c>
      <c r="E46">
        <v>2</v>
      </c>
      <c r="F46"/>
      <c r="G46"/>
      <c r="H46" t="str">
        <v>Cu Wire</v>
      </c>
      <c r="I46" t="str">
        <v>CUSTOM</v>
      </c>
      <c r="J46" s="74" t="str">
        <v>Cu Wire; amount not reported in the source workbook.</v>
      </c>
      <c r="K46" t="s">
        <v>34</v>
      </c>
      <c r="L46">
        <v>3</v>
      </c>
      <c r="M46"/>
      <c r="N46"/>
      <c r="O46" t="s">
        <v>35</v>
      </c>
      <c r="P46">
        <v>0.5</v>
      </c>
      <c r="Q46" t="s">
        <v>36</v>
      </c>
      <c r="R46">
        <v>24</v>
      </c>
      <c r="S46"/>
      <c r="T46"/>
      <c r="U46" t="s">
        <v>37</v>
      </c>
      <c r="V46">
        <v>90</v>
      </c>
      <c r="W46" t="n">
        <f>60*60</f>
        <v>3600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>
      <c r="A47"/>
      <c r="B47" t="s">
        <v>41</v>
      </c>
      <c r="C47">
        <v>2</v>
      </c>
      <c r="D47" t="s">
        <v>38</v>
      </c>
      <c r="E47">
        <v>2</v>
      </c>
      <c r="F47"/>
      <c r="G47"/>
      <c r="H47" t="str">
        <v>Cu Coil</v>
      </c>
      <c r="I47" t="str">
        <v>CUSTOM</v>
      </c>
      <c r="J47" s="74" t="str">
        <v>Cu Coil; amount not reported in the source workbook.</v>
      </c>
      <c r="K47" t="s">
        <v>34</v>
      </c>
      <c r="L47">
        <v>3</v>
      </c>
      <c r="M47"/>
      <c r="N47"/>
      <c r="O47" t="s">
        <v>35</v>
      </c>
      <c r="P47">
        <v>0.5</v>
      </c>
      <c r="Q47" t="s">
        <v>42</v>
      </c>
      <c r="R47">
        <v>95</v>
      </c>
      <c r="S47"/>
      <c r="T47"/>
      <c r="U47" t="s">
        <v>37</v>
      </c>
      <c r="V47">
        <v>90</v>
      </c>
      <c r="W47" t="n">
        <f>60*60</f>
        <v>3600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>
      <c r="A48"/>
      <c r="B48" t="s">
        <v>43</v>
      </c>
      <c r="C48">
        <v>2</v>
      </c>
      <c r="D48" t="s">
        <v>38</v>
      </c>
      <c r="E48">
        <v>2</v>
      </c>
      <c r="F48"/>
      <c r="G48"/>
      <c r="H48" t="str">
        <v>Cu Coil</v>
      </c>
      <c r="I48" t="str">
        <v>CUSTOM</v>
      </c>
      <c r="J48" s="74" t="str">
        <v>Cu Coil; amount not reported in the source workbook.</v>
      </c>
      <c r="K48" t="s">
        <v>34</v>
      </c>
      <c r="L48">
        <v>3</v>
      </c>
      <c r="M48"/>
      <c r="N48"/>
      <c r="O48" t="s">
        <v>35</v>
      </c>
      <c r="P48">
        <v>0.5</v>
      </c>
      <c r="Q48" t="s">
        <v>44</v>
      </c>
      <c r="R48">
        <v>94</v>
      </c>
      <c r="S48"/>
      <c r="T48"/>
      <c r="U48" t="s">
        <v>37</v>
      </c>
      <c r="V48">
        <v>90</v>
      </c>
      <c r="W48" t="n">
        <f>60*60</f>
        <v>3600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>
      <c r="A49"/>
      <c r="B49" t="s">
        <v>45</v>
      </c>
      <c r="C49">
        <v>2</v>
      </c>
      <c r="D49" t="s">
        <v>38</v>
      </c>
      <c r="E49">
        <v>2</v>
      </c>
      <c r="F49"/>
      <c r="G49"/>
      <c r="H49" t="str">
        <v>Cu Coil</v>
      </c>
      <c r="I49" t="str">
        <v>CUSTOM</v>
      </c>
      <c r="J49" s="74" t="str">
        <v>Cu Coil; amount not reported in the source workbook.</v>
      </c>
      <c r="K49" t="s">
        <v>34</v>
      </c>
      <c r="L49">
        <v>3</v>
      </c>
      <c r="M49"/>
      <c r="N49"/>
      <c r="O49" t="s">
        <v>35</v>
      </c>
      <c r="P49">
        <v>0.5</v>
      </c>
      <c r="Q49" t="s">
        <v>46</v>
      </c>
      <c r="R49">
        <v>92</v>
      </c>
      <c r="S49"/>
      <c r="T49"/>
      <c r="U49" t="s">
        <v>37</v>
      </c>
      <c r="V49">
        <v>90</v>
      </c>
      <c r="W49" t="n">
        <f>60*60</f>
        <v>3600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>
      <c r="A50"/>
      <c r="B50" t="s">
        <v>47</v>
      </c>
      <c r="C50">
        <v>2</v>
      </c>
      <c r="D50" t="s">
        <v>38</v>
      </c>
      <c r="E50">
        <v>2</v>
      </c>
      <c r="F50"/>
      <c r="G50"/>
      <c r="H50" t="str">
        <v>Cu Coil</v>
      </c>
      <c r="I50" t="str">
        <v>CUSTOM</v>
      </c>
      <c r="J50" s="74" t="str">
        <v>Cu Coil; amount not reported in the source workbook.</v>
      </c>
      <c r="K50" t="s">
        <v>34</v>
      </c>
      <c r="L50">
        <v>3</v>
      </c>
      <c r="M50"/>
      <c r="N50"/>
      <c r="O50" t="s">
        <v>35</v>
      </c>
      <c r="P50">
        <v>0.5</v>
      </c>
      <c r="Q50" t="s">
        <v>48</v>
      </c>
      <c r="R50">
        <v>95</v>
      </c>
      <c r="S50"/>
      <c r="T50"/>
      <c r="U50" t="s">
        <v>37</v>
      </c>
      <c r="V50">
        <v>90</v>
      </c>
      <c r="W50" t="n">
        <f>60*60</f>
        <v>3600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>
      <c r="A51"/>
      <c r="B51" t="s">
        <v>49</v>
      </c>
      <c r="C51">
        <v>2</v>
      </c>
      <c r="D51" t="s">
        <v>38</v>
      </c>
      <c r="E51">
        <v>2</v>
      </c>
      <c r="F51"/>
      <c r="G51"/>
      <c r="H51" t="str">
        <v>Cu Coil</v>
      </c>
      <c r="I51" t="str">
        <v>CUSTOM</v>
      </c>
      <c r="J51" s="74" t="str">
        <v>Cu Coil; amount not reported in the source workbook.</v>
      </c>
      <c r="K51" t="s">
        <v>34</v>
      </c>
      <c r="L51">
        <v>3</v>
      </c>
      <c r="M51"/>
      <c r="N51"/>
      <c r="O51" t="s">
        <v>35</v>
      </c>
      <c r="P51">
        <v>0.5</v>
      </c>
      <c r="Q51" t="s">
        <v>50</v>
      </c>
      <c r="R51">
        <v>95</v>
      </c>
      <c r="S51"/>
      <c r="T51"/>
      <c r="U51" t="s">
        <v>37</v>
      </c>
      <c r="V51">
        <v>90</v>
      </c>
      <c r="W51" t="n">
        <f>60*60</f>
        <v>3600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>
      <c r="A52"/>
      <c r="B52" t="s">
        <v>32</v>
      </c>
      <c r="C52">
        <v>2</v>
      </c>
      <c r="D52" t="s">
        <v>51</v>
      </c>
      <c r="E52">
        <v>2</v>
      </c>
      <c r="F52"/>
      <c r="G52"/>
      <c r="H52" t="str">
        <v>Cu Coil</v>
      </c>
      <c r="I52" t="str">
        <v>CUSTOM</v>
      </c>
      <c r="J52" s="74" t="str">
        <v>Cu Coil; amount not reported in the source workbook.</v>
      </c>
      <c r="K52" t="s">
        <v>34</v>
      </c>
      <c r="L52">
        <v>3</v>
      </c>
      <c r="M52"/>
      <c r="N52"/>
      <c r="O52" t="s">
        <v>35</v>
      </c>
      <c r="P52">
        <v>0.5</v>
      </c>
      <c r="Q52" t="s">
        <v>52</v>
      </c>
      <c r="R52">
        <v>88</v>
      </c>
      <c r="S52"/>
      <c r="T52"/>
      <c r="U52" t="s">
        <v>37</v>
      </c>
      <c r="V52">
        <v>90</v>
      </c>
      <c r="W52" t="n">
        <f>60*60</f>
        <v>3600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>
      <c r="A53"/>
      <c r="B53" t="s">
        <v>41</v>
      </c>
      <c r="C53">
        <v>2</v>
      </c>
      <c r="D53" t="s">
        <v>51</v>
      </c>
      <c r="E53">
        <v>2</v>
      </c>
      <c r="F53"/>
      <c r="G53"/>
      <c r="H53" t="str">
        <v>Cu Coil</v>
      </c>
      <c r="I53" t="str">
        <v>CUSTOM</v>
      </c>
      <c r="J53" s="74" t="str">
        <v>Cu Coil; amount not reported in the source workbook.</v>
      </c>
      <c r="K53" t="s">
        <v>34</v>
      </c>
      <c r="L53">
        <v>3</v>
      </c>
      <c r="M53"/>
      <c r="N53"/>
      <c r="O53" t="s">
        <v>35</v>
      </c>
      <c r="P53">
        <v>0.5</v>
      </c>
      <c r="Q53" t="s">
        <v>53</v>
      </c>
      <c r="R53">
        <v>95</v>
      </c>
      <c r="S53"/>
      <c r="T53"/>
      <c r="U53" t="s">
        <v>37</v>
      </c>
      <c r="V53">
        <v>90</v>
      </c>
      <c r="W53" t="n">
        <f>60*60</f>
        <v>3600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>
      <c r="A54"/>
      <c r="B54" t="s">
        <v>43</v>
      </c>
      <c r="C54">
        <v>2</v>
      </c>
      <c r="D54" t="s">
        <v>51</v>
      </c>
      <c r="E54">
        <v>2</v>
      </c>
      <c r="F54"/>
      <c r="G54"/>
      <c r="H54" t="str">
        <v>Cu Coil</v>
      </c>
      <c r="I54" t="str">
        <v>CUSTOM</v>
      </c>
      <c r="J54" s="74" t="str">
        <v>Cu Coil; amount not reported in the source workbook.</v>
      </c>
      <c r="K54" t="s">
        <v>34</v>
      </c>
      <c r="L54">
        <v>3</v>
      </c>
      <c r="M54"/>
      <c r="N54"/>
      <c r="O54" t="s">
        <v>35</v>
      </c>
      <c r="P54">
        <v>0.5</v>
      </c>
      <c r="Q54" t="s">
        <v>54</v>
      </c>
      <c r="R54">
        <v>80</v>
      </c>
      <c r="S54"/>
      <c r="T54"/>
      <c r="U54" t="s">
        <v>37</v>
      </c>
      <c r="V54">
        <v>90</v>
      </c>
      <c r="W54" t="n">
        <f>60*60</f>
        <v>3600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>
      <c r="A55"/>
      <c r="B55" t="s">
        <v>45</v>
      </c>
      <c r="C55">
        <v>2</v>
      </c>
      <c r="D55" t="s">
        <v>51</v>
      </c>
      <c r="E55">
        <v>2</v>
      </c>
      <c r="F55"/>
      <c r="G55"/>
      <c r="H55" t="str">
        <v>Cu Coil</v>
      </c>
      <c r="I55" t="str">
        <v>CUSTOM</v>
      </c>
      <c r="J55" s="74" t="str">
        <v>Cu Coil; amount not reported in the source workbook.</v>
      </c>
      <c r="K55" t="s">
        <v>34</v>
      </c>
      <c r="L55">
        <v>3</v>
      </c>
      <c r="M55"/>
      <c r="N55"/>
      <c r="O55" t="s">
        <v>35</v>
      </c>
      <c r="P55">
        <v>0.5</v>
      </c>
      <c r="Q55" t="s">
        <v>55</v>
      </c>
      <c r="R55">
        <v>94</v>
      </c>
      <c r="S55"/>
      <c r="T55"/>
      <c r="U55" t="s">
        <v>37</v>
      </c>
      <c r="V55">
        <v>90</v>
      </c>
      <c r="W55" t="n">
        <f>60*60</f>
        <v>3600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>
      <c r="A56"/>
      <c r="B56" t="s">
        <v>47</v>
      </c>
      <c r="C56">
        <v>2</v>
      </c>
      <c r="D56" t="s">
        <v>51</v>
      </c>
      <c r="E56">
        <v>2</v>
      </c>
      <c r="F56"/>
      <c r="G56"/>
      <c r="H56" t="str">
        <v>Cu Coil</v>
      </c>
      <c r="I56" t="str">
        <v>CUSTOM</v>
      </c>
      <c r="J56" s="74" t="str">
        <v>Cu Coil; amount not reported in the source workbook.</v>
      </c>
      <c r="K56" t="s">
        <v>34</v>
      </c>
      <c r="L56">
        <v>3</v>
      </c>
      <c r="M56"/>
      <c r="N56"/>
      <c r="O56" t="s">
        <v>35</v>
      </c>
      <c r="P56">
        <v>0.5</v>
      </c>
      <c r="Q56" t="s">
        <v>56</v>
      </c>
      <c r="R56">
        <v>93</v>
      </c>
      <c r="S56"/>
      <c r="T56"/>
      <c r="U56" t="s">
        <v>37</v>
      </c>
      <c r="V56">
        <v>90</v>
      </c>
      <c r="W56" t="n">
        <f>60*60</f>
        <v>3600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>
      <c r="A57"/>
      <c r="B57" t="s">
        <v>49</v>
      </c>
      <c r="C57">
        <v>2</v>
      </c>
      <c r="D57" t="s">
        <v>51</v>
      </c>
      <c r="E57">
        <v>2</v>
      </c>
      <c r="F57"/>
      <c r="G57"/>
      <c r="H57" t="str">
        <v>Cu Coil</v>
      </c>
      <c r="I57" t="str">
        <v>CUSTOM</v>
      </c>
      <c r="J57" s="74" t="str">
        <v>Cu Coil; amount not reported in the source workbook.</v>
      </c>
      <c r="K57" t="s">
        <v>34</v>
      </c>
      <c r="L57">
        <v>3</v>
      </c>
      <c r="M57"/>
      <c r="N57"/>
      <c r="O57" t="s">
        <v>35</v>
      </c>
      <c r="P57">
        <v>0.5</v>
      </c>
      <c r="Q57" t="s">
        <v>57</v>
      </c>
      <c r="R57">
        <v>84</v>
      </c>
      <c r="S57"/>
      <c r="T57"/>
      <c r="U57" t="s">
        <v>37</v>
      </c>
      <c r="V57">
        <v>90</v>
      </c>
      <c r="W57" t="n">
        <f>60*60</f>
        <v>3600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>
      <c r="A58"/>
      <c r="B58" t="s">
        <v>32</v>
      </c>
      <c r="C58">
        <v>2</v>
      </c>
      <c r="D58" t="s">
        <v>58</v>
      </c>
      <c r="E58">
        <v>2</v>
      </c>
      <c r="F58"/>
      <c r="G58"/>
      <c r="H58" t="str">
        <v>Cu Coil</v>
      </c>
      <c r="I58" t="str">
        <v>CUSTOM</v>
      </c>
      <c r="J58" s="74" t="str">
        <v>Cu Coil; amount not reported in the source workbook.</v>
      </c>
      <c r="K58" t="s">
        <v>34</v>
      </c>
      <c r="L58">
        <v>3</v>
      </c>
      <c r="M58"/>
      <c r="N58"/>
      <c r="O58" t="s">
        <v>35</v>
      </c>
      <c r="P58">
        <v>0.5</v>
      </c>
      <c r="Q58" t="s">
        <v>59</v>
      </c>
      <c r="R58">
        <v>93</v>
      </c>
      <c r="S58"/>
      <c r="T58"/>
      <c r="U58" t="s">
        <v>37</v>
      </c>
      <c r="V58">
        <v>90</v>
      </c>
      <c r="W58" t="n">
        <f>60*60</f>
        <v>3600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>
      <c r="A59"/>
      <c r="B59" t="s">
        <v>41</v>
      </c>
      <c r="C59">
        <v>2</v>
      </c>
      <c r="D59" t="s">
        <v>58</v>
      </c>
      <c r="E59">
        <v>2</v>
      </c>
      <c r="F59"/>
      <c r="G59"/>
      <c r="H59" t="str">
        <v>Cu Coil</v>
      </c>
      <c r="I59" t="str">
        <v>CUSTOM</v>
      </c>
      <c r="J59" s="74" t="str">
        <v>Cu Coil; amount not reported in the source workbook.</v>
      </c>
      <c r="K59" t="s">
        <v>34</v>
      </c>
      <c r="L59">
        <v>3</v>
      </c>
      <c r="M59"/>
      <c r="N59"/>
      <c r="O59" t="s">
        <v>35</v>
      </c>
      <c r="P59">
        <v>0.5</v>
      </c>
      <c r="Q59" t="s">
        <v>60</v>
      </c>
      <c r="R59">
        <v>87</v>
      </c>
      <c r="S59"/>
      <c r="T59"/>
      <c r="U59" t="s">
        <v>37</v>
      </c>
      <c r="V59">
        <v>90</v>
      </c>
      <c r="W59" t="n">
        <f>60*60</f>
        <v>3600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>
      <c r="A60"/>
      <c r="B60" t="s">
        <v>43</v>
      </c>
      <c r="C60">
        <v>2</v>
      </c>
      <c r="D60" t="s">
        <v>58</v>
      </c>
      <c r="E60">
        <v>2</v>
      </c>
      <c r="F60"/>
      <c r="G60"/>
      <c r="H60" t="str">
        <v>Cu Coil</v>
      </c>
      <c r="I60" t="str">
        <v>CUSTOM</v>
      </c>
      <c r="J60" s="74" t="str">
        <v>Cu Coil; amount not reported in the source workbook.</v>
      </c>
      <c r="K60" t="s">
        <v>34</v>
      </c>
      <c r="L60">
        <v>3</v>
      </c>
      <c r="M60"/>
      <c r="N60"/>
      <c r="O60" t="s">
        <v>35</v>
      </c>
      <c r="P60">
        <v>0.5</v>
      </c>
      <c r="Q60" t="s">
        <v>61</v>
      </c>
      <c r="R60">
        <v>62</v>
      </c>
      <c r="S60"/>
      <c r="T60"/>
      <c r="U60" t="s">
        <v>37</v>
      </c>
      <c r="V60">
        <v>90</v>
      </c>
      <c r="W60" t="n">
        <f>60*60</f>
        <v>3600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>
      <c r="A61"/>
      <c r="B61" t="s">
        <v>45</v>
      </c>
      <c r="C61">
        <v>2</v>
      </c>
      <c r="D61" t="s">
        <v>58</v>
      </c>
      <c r="E61">
        <v>2</v>
      </c>
      <c r="F61"/>
      <c r="G61"/>
      <c r="H61" t="str">
        <v>Cu Coil</v>
      </c>
      <c r="I61" t="str">
        <v>CUSTOM</v>
      </c>
      <c r="J61" s="74" t="str">
        <v>Cu Coil; amount not reported in the source workbook.</v>
      </c>
      <c r="K61" t="s">
        <v>34</v>
      </c>
      <c r="L61">
        <v>3</v>
      </c>
      <c r="M61"/>
      <c r="N61"/>
      <c r="O61" t="s">
        <v>35</v>
      </c>
      <c r="P61">
        <v>0.5</v>
      </c>
      <c r="Q61" t="s">
        <v>62</v>
      </c>
      <c r="R61">
        <v>55</v>
      </c>
      <c r="S61"/>
      <c r="T61"/>
      <c r="U61" t="s">
        <v>37</v>
      </c>
      <c r="V61">
        <v>90</v>
      </c>
      <c r="W61" t="n">
        <f>60*60</f>
        <v>3600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>
      <c r="A62"/>
      <c r="B62" t="s">
        <v>47</v>
      </c>
      <c r="C62">
        <v>2</v>
      </c>
      <c r="D62" t="s">
        <v>58</v>
      </c>
      <c r="E62">
        <v>2</v>
      </c>
      <c r="F62"/>
      <c r="G62"/>
      <c r="H62" t="str">
        <v>Cu Coil</v>
      </c>
      <c r="I62" t="str">
        <v>CUSTOM</v>
      </c>
      <c r="J62" s="74" t="str">
        <v>Cu Coil; amount not reported in the source workbook.</v>
      </c>
      <c r="K62" t="s">
        <v>34</v>
      </c>
      <c r="L62">
        <v>3</v>
      </c>
      <c r="M62"/>
      <c r="N62"/>
      <c r="O62" t="s">
        <v>35</v>
      </c>
      <c r="P62">
        <v>0.5</v>
      </c>
      <c r="Q62" t="s">
        <v>63</v>
      </c>
      <c r="R62">
        <v>91</v>
      </c>
      <c r="S62"/>
      <c r="T62"/>
      <c r="U62" t="s">
        <v>37</v>
      </c>
      <c r="V62">
        <v>90</v>
      </c>
      <c r="W62" t="n">
        <f>60*60</f>
        <v>3600</v>
      </c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>
      <c r="A63"/>
      <c r="B63" t="s">
        <v>49</v>
      </c>
      <c r="C63">
        <v>2</v>
      </c>
      <c r="D63" t="s">
        <v>58</v>
      </c>
      <c r="E63">
        <v>2</v>
      </c>
      <c r="F63"/>
      <c r="G63"/>
      <c r="H63" t="str">
        <v>Cu Coil</v>
      </c>
      <c r="I63" t="str">
        <v>CUSTOM</v>
      </c>
      <c r="J63" s="74" t="str">
        <v>Cu Coil; amount not reported in the source workbook.</v>
      </c>
      <c r="K63" t="s">
        <v>34</v>
      </c>
      <c r="L63">
        <v>3</v>
      </c>
      <c r="M63"/>
      <c r="N63"/>
      <c r="O63" t="s">
        <v>35</v>
      </c>
      <c r="P63">
        <v>0.5</v>
      </c>
      <c r="Q63" t="s">
        <v>64</v>
      </c>
      <c r="R63">
        <v>92</v>
      </c>
      <c r="S63"/>
      <c r="T63"/>
      <c r="U63" t="s">
        <v>37</v>
      </c>
      <c r="V63">
        <v>90</v>
      </c>
      <c r="W63" t="n">
        <f>60*60</f>
        <v>3600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>
      <c r="A64"/>
      <c r="B64" t="s">
        <v>65</v>
      </c>
      <c r="C64">
        <v>2</v>
      </c>
      <c r="D64" t="s">
        <v>66</v>
      </c>
      <c r="E64">
        <v>1</v>
      </c>
      <c r="F64"/>
      <c r="G64"/>
      <c r="H64" t="str">
        <v>Cu Coil</v>
      </c>
      <c r="I64" t="str">
        <v>CUSTOM</v>
      </c>
      <c r="J64" s="74" t="str">
        <v>Cu Coil; amount not reported in the source workbook.</v>
      </c>
      <c r="K64" t="s">
        <v>34</v>
      </c>
      <c r="L64">
        <v>5</v>
      </c>
      <c r="M64"/>
      <c r="N64"/>
      <c r="O64" t="s">
        <v>35</v>
      </c>
      <c r="P64">
        <v>0.25</v>
      </c>
      <c r="Q64" t="s">
        <v>67</v>
      </c>
      <c r="R64">
        <v>43</v>
      </c>
      <c r="S64" t="s">
        <v>68</v>
      </c>
      <c r="T64">
        <v>2</v>
      </c>
      <c r="U64" t="s">
        <v>37</v>
      </c>
      <c r="V64">
        <v>90</v>
      </c>
      <c r="W64" t="n">
        <f>60*40</f>
        <v>2400</v>
      </c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>
      <c r="A65"/>
      <c r="B65" t="s">
        <v>65</v>
      </c>
      <c r="C65">
        <v>2</v>
      </c>
      <c r="D65" t="s">
        <v>66</v>
      </c>
      <c r="E65">
        <v>1</v>
      </c>
      <c r="F65"/>
      <c r="G65"/>
      <c r="H65" t="str">
        <v>Cu Coil</v>
      </c>
      <c r="I65" t="str">
        <v>CUSTOM</v>
      </c>
      <c r="J65" s="74" t="str">
        <v>Cu Coil; amount not reported in the source workbook.</v>
      </c>
      <c r="K65" t="s">
        <v>34</v>
      </c>
      <c r="L65">
        <v>5</v>
      </c>
      <c r="M65"/>
      <c r="N65"/>
      <c r="O65" t="s">
        <v>35</v>
      </c>
      <c r="P65">
        <v>0.25</v>
      </c>
      <c r="Q65" t="s">
        <v>67</v>
      </c>
      <c r="R65">
        <v>78</v>
      </c>
      <c r="S65" t="s">
        <v>68</v>
      </c>
      <c r="T65">
        <v>9</v>
      </c>
      <c r="U65" t="s">
        <v>37</v>
      </c>
      <c r="V65">
        <v>90</v>
      </c>
      <c r="W65" t="n">
        <f>60*60</f>
        <v>3600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>
      <c r="A66"/>
      <c r="B66" t="s">
        <v>65</v>
      </c>
      <c r="C66">
        <v>2</v>
      </c>
      <c r="D66" t="s">
        <v>66</v>
      </c>
      <c r="E66">
        <v>1</v>
      </c>
      <c r="F66"/>
      <c r="G66"/>
      <c r="H66" t="str">
        <v>Cu Coil</v>
      </c>
      <c r="I66" t="str">
        <v>CUSTOM</v>
      </c>
      <c r="J66" s="74" t="str">
        <v>Cu Coil; amount not reported in the source workbook.</v>
      </c>
      <c r="K66" t="s">
        <v>34</v>
      </c>
      <c r="L66">
        <v>5</v>
      </c>
      <c r="M66"/>
      <c r="N66"/>
      <c r="O66" t="s">
        <v>35</v>
      </c>
      <c r="P66">
        <v>0.25</v>
      </c>
      <c r="Q66" t="s">
        <v>67</v>
      </c>
      <c r="R66">
        <v>78</v>
      </c>
      <c r="S66" t="s">
        <v>68</v>
      </c>
      <c r="T66">
        <v>16</v>
      </c>
      <c r="U66" t="s">
        <v>37</v>
      </c>
      <c r="V66">
        <v>90</v>
      </c>
      <c r="W66" t="n">
        <f>60*80</f>
        <v>4800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>
      <c r="A67"/>
      <c r="B67" t="s">
        <v>65</v>
      </c>
      <c r="C67">
        <v>2</v>
      </c>
      <c r="D67" t="s">
        <v>66</v>
      </c>
      <c r="E67">
        <v>1</v>
      </c>
      <c r="F67"/>
      <c r="G67"/>
      <c r="H67" t="str">
        <v>Cu Coil</v>
      </c>
      <c r="I67" t="str">
        <v>CUSTOM</v>
      </c>
      <c r="J67" s="74" t="str">
        <v>Cu Coil; amount not reported in the source workbook.</v>
      </c>
      <c r="K67" t="s">
        <v>34</v>
      </c>
      <c r="L67">
        <v>5</v>
      </c>
      <c r="M67"/>
      <c r="N67"/>
      <c r="O67" t="s">
        <v>35</v>
      </c>
      <c r="P67">
        <v>0.25</v>
      </c>
      <c r="Q67" t="s">
        <v>67</v>
      </c>
      <c r="R67">
        <v>82</v>
      </c>
      <c r="S67" t="s">
        <v>68</v>
      </c>
      <c r="T67">
        <v>13</v>
      </c>
      <c r="U67" t="s">
        <v>37</v>
      </c>
      <c r="V67">
        <v>90</v>
      </c>
      <c r="W67" t="n">
        <f>60*120</f>
        <v>7200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>
      <c r="A68"/>
      <c r="B68" t="s">
        <v>65</v>
      </c>
      <c r="C68">
        <v>2</v>
      </c>
      <c r="D68" t="s">
        <v>66</v>
      </c>
      <c r="E68">
        <v>1</v>
      </c>
      <c r="F68"/>
      <c r="G68"/>
      <c r="H68" t="str">
        <v>Cu Coil</v>
      </c>
      <c r="I68" t="str">
        <v>CUSTOM</v>
      </c>
      <c r="J68" s="74" t="str">
        <v>Cu Coil; amount not reported in the source workbook.</v>
      </c>
      <c r="K68" t="s">
        <v>34</v>
      </c>
      <c r="L68">
        <v>5</v>
      </c>
      <c r="M68"/>
      <c r="N68"/>
      <c r="O68" t="s">
        <v>35</v>
      </c>
      <c r="P68">
        <v>0.5</v>
      </c>
      <c r="Q68" t="s">
        <v>67</v>
      </c>
      <c r="R68">
        <v>93</v>
      </c>
      <c r="S68" t="s">
        <v>68</v>
      </c>
      <c r="T68">
        <v>7</v>
      </c>
      <c r="U68" t="s">
        <v>37</v>
      </c>
      <c r="V68">
        <v>90</v>
      </c>
      <c r="W68" t="n">
        <f>60*40</f>
        <v>2400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>
      <c r="A69"/>
      <c r="B69" t="s">
        <v>65</v>
      </c>
      <c r="C69">
        <v>2</v>
      </c>
      <c r="D69" t="s">
        <v>66</v>
      </c>
      <c r="E69">
        <v>1</v>
      </c>
      <c r="F69"/>
      <c r="G69"/>
      <c r="H69" t="str">
        <v>Cu Coil</v>
      </c>
      <c r="I69" t="str">
        <v>CUSTOM</v>
      </c>
      <c r="J69" s="74" t="str">
        <v>Cu Coil; amount not reported in the source workbook.</v>
      </c>
      <c r="K69" t="s">
        <v>34</v>
      </c>
      <c r="L69">
        <v>5</v>
      </c>
      <c r="M69"/>
      <c r="N69"/>
      <c r="O69" t="s">
        <v>35</v>
      </c>
      <c r="P69">
        <v>0.5</v>
      </c>
      <c r="Q69" t="s">
        <v>67</v>
      </c>
      <c r="R69">
        <v>87</v>
      </c>
      <c r="S69" t="s">
        <v>68</v>
      </c>
      <c r="T69">
        <v>10</v>
      </c>
      <c r="U69" t="s">
        <v>37</v>
      </c>
      <c r="V69">
        <v>90</v>
      </c>
      <c r="W69" t="n">
        <f>60*60</f>
        <v>3600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>
      <c r="A70"/>
      <c r="B70" t="s">
        <v>65</v>
      </c>
      <c r="C70">
        <v>2</v>
      </c>
      <c r="D70" t="s">
        <v>66</v>
      </c>
      <c r="E70">
        <v>1</v>
      </c>
      <c r="F70"/>
      <c r="G70"/>
      <c r="H70" t="str">
        <v>Cu Coil</v>
      </c>
      <c r="I70" t="str">
        <v>CUSTOM</v>
      </c>
      <c r="J70" s="74" t="str">
        <v>Cu Coil; amount not reported in the source workbook.</v>
      </c>
      <c r="K70" t="s">
        <v>34</v>
      </c>
      <c r="L70">
        <v>5</v>
      </c>
      <c r="M70"/>
      <c r="N70"/>
      <c r="O70" t="s">
        <v>35</v>
      </c>
      <c r="P70">
        <v>0.5</v>
      </c>
      <c r="Q70" t="s">
        <v>67</v>
      </c>
      <c r="R70">
        <v>84</v>
      </c>
      <c r="S70" t="s">
        <v>68</v>
      </c>
      <c r="T70">
        <v>13</v>
      </c>
      <c r="U70" t="s">
        <v>37</v>
      </c>
      <c r="V70">
        <v>90</v>
      </c>
      <c r="W70" t="n">
        <f>60*80</f>
        <v>4800</v>
      </c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>
      <c r="A71"/>
      <c r="B71" t="s">
        <v>65</v>
      </c>
      <c r="C71">
        <v>2</v>
      </c>
      <c r="D71" t="s">
        <v>66</v>
      </c>
      <c r="E71">
        <v>1</v>
      </c>
      <c r="F71"/>
      <c r="G71"/>
      <c r="H71" t="str">
        <v>Cu Coil</v>
      </c>
      <c r="I71" t="str">
        <v>CUSTOM</v>
      </c>
      <c r="J71" s="74" t="str">
        <v>Cu Coil; amount not reported in the source workbook.</v>
      </c>
      <c r="K71" t="s">
        <v>34</v>
      </c>
      <c r="L71">
        <v>5</v>
      </c>
      <c r="M71"/>
      <c r="N71"/>
      <c r="O71" t="s">
        <v>35</v>
      </c>
      <c r="P71">
        <v>0.5</v>
      </c>
      <c r="Q71" t="s">
        <v>67</v>
      </c>
      <c r="R71">
        <v>79</v>
      </c>
      <c r="S71" t="s">
        <v>68</v>
      </c>
      <c r="T71">
        <v>21</v>
      </c>
      <c r="U71" t="s">
        <v>37</v>
      </c>
      <c r="V71">
        <v>90</v>
      </c>
      <c r="W71" t="n">
        <f>60*120</f>
        <v>7200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>
      <c r="A72"/>
      <c r="B72" t="s">
        <v>65</v>
      </c>
      <c r="C72">
        <v>2</v>
      </c>
      <c r="D72" t="s">
        <v>66</v>
      </c>
      <c r="E72">
        <v>1</v>
      </c>
      <c r="F72"/>
      <c r="G72"/>
      <c r="H72" t="str">
        <v>Cu Coil</v>
      </c>
      <c r="I72" t="str">
        <v>CUSTOM</v>
      </c>
      <c r="J72" s="74" t="str">
        <v>Cu Coil; amount not reported in the source workbook.</v>
      </c>
      <c r="K72" t="s">
        <v>34</v>
      </c>
      <c r="L72">
        <v>5</v>
      </c>
      <c r="M72"/>
      <c r="N72"/>
      <c r="O72" t="s">
        <v>35</v>
      </c>
      <c r="P72">
        <v>0.75</v>
      </c>
      <c r="Q72" t="s">
        <v>67</v>
      </c>
      <c r="R72">
        <v>88</v>
      </c>
      <c r="S72" t="s">
        <v>68</v>
      </c>
      <c r="T72">
        <v>12</v>
      </c>
      <c r="U72" t="s">
        <v>37</v>
      </c>
      <c r="V72">
        <v>90</v>
      </c>
      <c r="W72" t="n">
        <f>60*40</f>
        <v>2400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>
      <c r="A73"/>
      <c r="B73" t="s">
        <v>65</v>
      </c>
      <c r="C73">
        <v>2</v>
      </c>
      <c r="D73" t="s">
        <v>66</v>
      </c>
      <c r="E73">
        <v>1</v>
      </c>
      <c r="F73"/>
      <c r="G73"/>
      <c r="H73" t="str">
        <v>Cu Coil</v>
      </c>
      <c r="I73" t="str">
        <v>CUSTOM</v>
      </c>
      <c r="J73" s="74" t="str">
        <v>Cu Coil; amount not reported in the source workbook.</v>
      </c>
      <c r="K73" t="s">
        <v>34</v>
      </c>
      <c r="L73">
        <v>5</v>
      </c>
      <c r="M73"/>
      <c r="N73"/>
      <c r="O73" t="s">
        <v>35</v>
      </c>
      <c r="P73">
        <v>0.75</v>
      </c>
      <c r="Q73" t="s">
        <v>67</v>
      </c>
      <c r="R73">
        <v>84</v>
      </c>
      <c r="S73" t="s">
        <v>68</v>
      </c>
      <c r="T73">
        <v>16</v>
      </c>
      <c r="U73" t="s">
        <v>37</v>
      </c>
      <c r="V73">
        <v>90</v>
      </c>
      <c r="W73" t="n">
        <f>60*60</f>
        <v>3600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>
      <c r="A74"/>
      <c r="B74" t="s">
        <v>65</v>
      </c>
      <c r="C74">
        <v>2</v>
      </c>
      <c r="D74" t="s">
        <v>66</v>
      </c>
      <c r="E74">
        <v>1</v>
      </c>
      <c r="F74"/>
      <c r="G74"/>
      <c r="H74" t="str">
        <v>Cu Coil</v>
      </c>
      <c r="I74" t="str">
        <v>CUSTOM</v>
      </c>
      <c r="J74" s="74" t="str">
        <v>Cu Coil; amount not reported in the source workbook.</v>
      </c>
      <c r="K74" t="s">
        <v>34</v>
      </c>
      <c r="L74">
        <v>5</v>
      </c>
      <c r="M74"/>
      <c r="N74"/>
      <c r="O74" t="s">
        <v>35</v>
      </c>
      <c r="P74">
        <v>0.75</v>
      </c>
      <c r="Q74" t="s">
        <v>67</v>
      </c>
      <c r="R74">
        <v>46</v>
      </c>
      <c r="S74" t="s">
        <v>68</v>
      </c>
      <c r="T74">
        <v>54</v>
      </c>
      <c r="U74" t="s">
        <v>37</v>
      </c>
      <c r="V74">
        <v>90</v>
      </c>
      <c r="W74" t="n">
        <f>60*80</f>
        <v>4800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>
      <c r="A75"/>
      <c r="B75" t="s">
        <v>65</v>
      </c>
      <c r="C75">
        <v>2</v>
      </c>
      <c r="D75" t="s">
        <v>66</v>
      </c>
      <c r="E75">
        <v>1</v>
      </c>
      <c r="F75"/>
      <c r="G75"/>
      <c r="H75" t="str">
        <v>Cu Coil</v>
      </c>
      <c r="I75" t="str">
        <v>CUSTOM</v>
      </c>
      <c r="J75" s="74" t="str">
        <v>Cu Coil; amount not reported in the source workbook.</v>
      </c>
      <c r="K75" t="s">
        <v>34</v>
      </c>
      <c r="L75">
        <v>5</v>
      </c>
      <c r="M75"/>
      <c r="N75"/>
      <c r="O75" t="s">
        <v>35</v>
      </c>
      <c r="P75">
        <v>0.75</v>
      </c>
      <c r="Q75" t="s">
        <v>67</v>
      </c>
      <c r="R75">
        <v>18</v>
      </c>
      <c r="S75" t="s">
        <v>68</v>
      </c>
      <c r="T75">
        <v>82</v>
      </c>
      <c r="U75" t="s">
        <v>37</v>
      </c>
      <c r="V75">
        <v>90</v>
      </c>
      <c r="W75" t="n">
        <f>60*120</f>
        <v>7200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>
      <c r="A76"/>
      <c r="B76" t="s">
        <v>65</v>
      </c>
      <c r="C76">
        <v>2</v>
      </c>
      <c r="D76" t="s">
        <v>66</v>
      </c>
      <c r="E76">
        <v>1</v>
      </c>
      <c r="F76"/>
      <c r="G76"/>
      <c r="H76" t="str">
        <v>Cu Coil</v>
      </c>
      <c r="I76" t="str">
        <v>CUSTOM</v>
      </c>
      <c r="J76" s="74" t="str">
        <v>Cu Coil; amount not reported in the source workbook.</v>
      </c>
      <c r="K76" t="s">
        <v>34</v>
      </c>
      <c r="L76">
        <v>5</v>
      </c>
      <c r="M76"/>
      <c r="N76"/>
      <c r="O76" t="s">
        <v>35</v>
      </c>
      <c r="P76">
        <v>1</v>
      </c>
      <c r="Q76" t="s">
        <v>67</v>
      </c>
      <c r="R76">
        <v>91</v>
      </c>
      <c r="S76" t="s">
        <v>68</v>
      </c>
      <c r="T76">
        <v>9</v>
      </c>
      <c r="U76" t="s">
        <v>37</v>
      </c>
      <c r="V76">
        <v>90</v>
      </c>
      <c r="W76" t="n">
        <f>60*40</f>
        <v>2400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>
      <c r="A77"/>
      <c r="B77" t="s">
        <v>65</v>
      </c>
      <c r="C77">
        <v>2</v>
      </c>
      <c r="D77" t="s">
        <v>66</v>
      </c>
      <c r="E77">
        <v>1</v>
      </c>
      <c r="F77"/>
      <c r="G77"/>
      <c r="H77" t="str">
        <v>Cu Coil</v>
      </c>
      <c r="I77" t="str">
        <v>CUSTOM</v>
      </c>
      <c r="J77" s="74" t="str">
        <v>Cu Coil; amount not reported in the source workbook.</v>
      </c>
      <c r="K77" t="s">
        <v>34</v>
      </c>
      <c r="L77">
        <v>5</v>
      </c>
      <c r="M77"/>
      <c r="N77"/>
      <c r="O77" t="s">
        <v>35</v>
      </c>
      <c r="P77">
        <v>1</v>
      </c>
      <c r="Q77" t="s">
        <v>67</v>
      </c>
      <c r="R77">
        <v>79</v>
      </c>
      <c r="S77" t="s">
        <v>68</v>
      </c>
      <c r="T77">
        <v>21</v>
      </c>
      <c r="U77" t="s">
        <v>37</v>
      </c>
      <c r="V77">
        <v>90</v>
      </c>
      <c r="W77" t="n">
        <f>60*60</f>
        <v>3600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>
      <c r="A78"/>
      <c r="B78" t="s">
        <v>65</v>
      </c>
      <c r="C78">
        <v>2</v>
      </c>
      <c r="D78" t="s">
        <v>66</v>
      </c>
      <c r="E78">
        <v>1</v>
      </c>
      <c r="F78"/>
      <c r="G78"/>
      <c r="H78" t="str">
        <v>Cu Coil</v>
      </c>
      <c r="I78" t="str">
        <v>CUSTOM</v>
      </c>
      <c r="J78" s="74" t="str">
        <v>Cu Coil; amount not reported in the source workbook.</v>
      </c>
      <c r="K78" t="s">
        <v>34</v>
      </c>
      <c r="L78">
        <v>5</v>
      </c>
      <c r="M78"/>
      <c r="N78"/>
      <c r="O78" t="s">
        <v>35</v>
      </c>
      <c r="P78">
        <v>1</v>
      </c>
      <c r="Q78" t="s">
        <v>67</v>
      </c>
      <c r="R78">
        <v>21</v>
      </c>
      <c r="S78" t="s">
        <v>68</v>
      </c>
      <c r="T78">
        <v>79</v>
      </c>
      <c r="U78" t="s">
        <v>37</v>
      </c>
      <c r="V78">
        <v>90</v>
      </c>
      <c r="W78" t="n">
        <f>60*80</f>
        <v>4800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>
      <c r="A79"/>
      <c r="B79" t="s">
        <v>65</v>
      </c>
      <c r="C79">
        <v>2</v>
      </c>
      <c r="D79" t="s">
        <v>66</v>
      </c>
      <c r="E79">
        <v>1</v>
      </c>
      <c r="F79"/>
      <c r="G79"/>
      <c r="H79" t="str">
        <v>Cu Coil</v>
      </c>
      <c r="I79" t="str">
        <v>CUSTOM</v>
      </c>
      <c r="J79" s="74" t="str">
        <v>Cu Coil; amount not reported in the source workbook.</v>
      </c>
      <c r="K79" t="s">
        <v>34</v>
      </c>
      <c r="L79">
        <v>5</v>
      </c>
      <c r="M79"/>
      <c r="N79"/>
      <c r="O79" t="s">
        <v>35</v>
      </c>
      <c r="P79">
        <v>1</v>
      </c>
      <c r="Q79" t="s">
        <v>67</v>
      </c>
      <c r="R79">
        <v>0</v>
      </c>
      <c r="S79" t="s">
        <v>68</v>
      </c>
      <c r="T79">
        <v>95</v>
      </c>
      <c r="U79" t="s">
        <v>37</v>
      </c>
      <c r="V79">
        <v>90</v>
      </c>
      <c r="W79" t="n">
        <f>60*120</f>
        <v>7200</v>
      </c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>
      <c r="A80"/>
      <c r="B80" t="s">
        <v>65</v>
      </c>
      <c r="C80">
        <v>2</v>
      </c>
      <c r="D80" t="s">
        <v>66</v>
      </c>
      <c r="E80">
        <v>2</v>
      </c>
      <c r="F80"/>
      <c r="G80"/>
      <c r="H80" t="str">
        <v>Cu Coil</v>
      </c>
      <c r="I80" t="str">
        <v>CUSTOM</v>
      </c>
      <c r="J80" s="74" t="str">
        <v>Cu Coil; amount not reported in the source workbook.</v>
      </c>
      <c r="K80" t="s">
        <v>34</v>
      </c>
      <c r="L80">
        <v>3</v>
      </c>
      <c r="M80"/>
      <c r="N80"/>
      <c r="O80" t="s">
        <v>35</v>
      </c>
      <c r="P80">
        <v>0</v>
      </c>
      <c r="Q80" t="s">
        <v>67</v>
      </c>
      <c r="R80">
        <v>0</v>
      </c>
      <c r="S80" t="s">
        <v>68</v>
      </c>
      <c r="T80">
        <v>0</v>
      </c>
      <c r="U80" t="s">
        <v>37</v>
      </c>
      <c r="V80">
        <v>90</v>
      </c>
      <c r="W80" t="n">
        <f>60*60</f>
        <v>3600</v>
      </c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>
      <c r="A81"/>
      <c r="B81" t="s">
        <v>65</v>
      </c>
      <c r="C81">
        <v>2</v>
      </c>
      <c r="D81" t="s">
        <v>66</v>
      </c>
      <c r="E81">
        <v>2</v>
      </c>
      <c r="F81"/>
      <c r="G81"/>
      <c r="H81" t="str">
        <v>Cu Coil</v>
      </c>
      <c r="I81" t="str">
        <v>CUSTOM</v>
      </c>
      <c r="J81" s="74" t="str">
        <v>Cu Coil; amount not reported in the source workbook.</v>
      </c>
      <c r="K81" t="s">
        <v>34</v>
      </c>
      <c r="L81">
        <v>3</v>
      </c>
      <c r="M81"/>
      <c r="N81"/>
      <c r="O81" t="s">
        <v>35</v>
      </c>
      <c r="P81">
        <v>0.25</v>
      </c>
      <c r="Q81" t="s">
        <v>67</v>
      </c>
      <c r="R81">
        <v>70</v>
      </c>
      <c r="S81" t="s">
        <v>68</v>
      </c>
      <c r="T81">
        <v>11</v>
      </c>
      <c r="U81" t="s">
        <v>37</v>
      </c>
      <c r="V81">
        <v>90</v>
      </c>
      <c r="W81" t="n">
        <f>60*60</f>
        <v>3600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>
      <c r="A82"/>
      <c r="B82" t="s">
        <v>65</v>
      </c>
      <c r="C82">
        <v>2</v>
      </c>
      <c r="D82" t="s">
        <v>66</v>
      </c>
      <c r="E82">
        <v>2</v>
      </c>
      <c r="F82"/>
      <c r="G82"/>
      <c r="H82" t="str">
        <v>Cu Coil</v>
      </c>
      <c r="I82" t="str">
        <v>CUSTOM</v>
      </c>
      <c r="J82" s="74" t="str">
        <v>Cu Coil; amount not reported in the source workbook.</v>
      </c>
      <c r="K82" t="s">
        <v>34</v>
      </c>
      <c r="L82">
        <v>3</v>
      </c>
      <c r="M82"/>
      <c r="N82"/>
      <c r="O82" t="s">
        <v>35</v>
      </c>
      <c r="P82">
        <v>0.5</v>
      </c>
      <c r="Q82" t="s">
        <v>67</v>
      </c>
      <c r="R82">
        <v>69</v>
      </c>
      <c r="S82" t="s">
        <v>68</v>
      </c>
      <c r="T82">
        <v>13</v>
      </c>
      <c r="U82" t="s">
        <v>37</v>
      </c>
      <c r="V82">
        <v>90</v>
      </c>
      <c r="W82" t="n">
        <f>60*60</f>
        <v>3600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>
      <c r="A83"/>
      <c r="B83" t="s">
        <v>65</v>
      </c>
      <c r="C83">
        <v>2</v>
      </c>
      <c r="D83" t="s">
        <v>66</v>
      </c>
      <c r="E83">
        <v>2</v>
      </c>
      <c r="F83"/>
      <c r="G83"/>
      <c r="H83" t="str">
        <v>Cu Coil</v>
      </c>
      <c r="I83" t="str">
        <v>CUSTOM</v>
      </c>
      <c r="J83" s="74" t="str">
        <v>Cu Coil; amount not reported in the source workbook.</v>
      </c>
      <c r="K83" t="s">
        <v>34</v>
      </c>
      <c r="L83">
        <v>3</v>
      </c>
      <c r="M83"/>
      <c r="N83"/>
      <c r="O83" t="s">
        <v>35</v>
      </c>
      <c r="P83">
        <v>0.75</v>
      </c>
      <c r="Q83" t="s">
        <v>67</v>
      </c>
      <c r="R83">
        <v>78</v>
      </c>
      <c r="S83" t="s">
        <v>68</v>
      </c>
      <c r="T83">
        <v>18</v>
      </c>
      <c r="U83" t="s">
        <v>37</v>
      </c>
      <c r="V83">
        <v>90</v>
      </c>
      <c r="W83" t="n">
        <f>60*60</f>
        <v>3600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>
      <c r="A84"/>
      <c r="B84" t="s">
        <v>65</v>
      </c>
      <c r="C84">
        <v>2</v>
      </c>
      <c r="D84" t="s">
        <v>66</v>
      </c>
      <c r="E84">
        <v>2</v>
      </c>
      <c r="F84"/>
      <c r="G84"/>
      <c r="H84" t="str">
        <v>Cu Coil</v>
      </c>
      <c r="I84" t="str">
        <v>CUSTOM</v>
      </c>
      <c r="J84" s="74" t="str">
        <v>Cu Coil; amount not reported in the source workbook.</v>
      </c>
      <c r="K84" t="s">
        <v>34</v>
      </c>
      <c r="L84">
        <v>3</v>
      </c>
      <c r="M84"/>
      <c r="N84"/>
      <c r="O84" t="s">
        <v>35</v>
      </c>
      <c r="P84">
        <v>1</v>
      </c>
      <c r="Q84" t="s">
        <v>67</v>
      </c>
      <c r="R84">
        <v>74</v>
      </c>
      <c r="S84" t="s">
        <v>68</v>
      </c>
      <c r="T84">
        <v>12</v>
      </c>
      <c r="U84" t="s">
        <v>37</v>
      </c>
      <c r="V84">
        <v>90</v>
      </c>
      <c r="W84" t="n">
        <f>60*60</f>
        <v>3600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>
      <c r="A85"/>
      <c r="B85" t="s">
        <v>47</v>
      </c>
      <c r="C85">
        <v>2</v>
      </c>
      <c r="D85" t="s">
        <v>66</v>
      </c>
      <c r="E85">
        <v>1</v>
      </c>
      <c r="F85"/>
      <c r="G85"/>
      <c r="H85" t="str">
        <v>Cu Coil</v>
      </c>
      <c r="I85" t="str">
        <v>CUSTOM</v>
      </c>
      <c r="J85" s="74" t="str">
        <v>Cu Coil; amount not reported in the source workbook.</v>
      </c>
      <c r="K85" t="s">
        <v>34</v>
      </c>
      <c r="L85">
        <v>5</v>
      </c>
      <c r="M85"/>
      <c r="N85"/>
      <c r="O85" t="s">
        <v>35</v>
      </c>
      <c r="P85">
        <v>0</v>
      </c>
      <c r="Q85" t="s">
        <v>69</v>
      </c>
      <c r="R85">
        <v>0</v>
      </c>
      <c r="S85" t="s">
        <v>70</v>
      </c>
      <c r="T85">
        <v>0</v>
      </c>
      <c r="U85" t="s">
        <v>37</v>
      </c>
      <c r="V85">
        <v>90</v>
      </c>
      <c r="W85" t="n">
        <f>60*60</f>
        <v>3600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>
      <c r="A86"/>
      <c r="B86" t="s">
        <v>47</v>
      </c>
      <c r="C86">
        <v>2</v>
      </c>
      <c r="D86" t="s">
        <v>66</v>
      </c>
      <c r="E86">
        <v>1</v>
      </c>
      <c r="F86"/>
      <c r="G86"/>
      <c r="H86" t="str">
        <v>Cu Coil</v>
      </c>
      <c r="I86" t="str">
        <v>CUSTOM</v>
      </c>
      <c r="J86" s="74" t="str">
        <v>Cu Coil; amount not reported in the source workbook.</v>
      </c>
      <c r="K86" t="s">
        <v>34</v>
      </c>
      <c r="L86">
        <v>5</v>
      </c>
      <c r="M86"/>
      <c r="N86"/>
      <c r="O86" t="s">
        <v>35</v>
      </c>
      <c r="P86">
        <v>0.25</v>
      </c>
      <c r="Q86" t="s">
        <v>69</v>
      </c>
      <c r="R86">
        <v>64</v>
      </c>
      <c r="S86" t="s">
        <v>70</v>
      </c>
      <c r="T86">
        <v>33</v>
      </c>
      <c r="U86" t="s">
        <v>37</v>
      </c>
      <c r="V86">
        <v>90</v>
      </c>
      <c r="W86" t="n">
        <f>60*60</f>
        <v>3600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>
      <c r="A87"/>
      <c r="B87" t="str">
        <v>BrCC1=CC(OC)=CC(OC)=C1</v>
      </c>
      <c r="C87">
        <v>2</v>
      </c>
      <c r="D87" t="str">
        <v>C#Cc1ccc(C#C)cc1</v>
      </c>
      <c r="E87">
        <v>1</v>
      </c>
      <c r="F87"/>
      <c r="G87"/>
      <c r="H87" t="str">
        <v>Cu Coil</v>
      </c>
      <c r="I87" t="str">
        <v>CUSTOM</v>
      </c>
      <c r="J87" s="74" t="str">
        <v>Cu Coil; amount not reported in the source workbook.</v>
      </c>
      <c r="K87" t="s">
        <v>34</v>
      </c>
      <c r="L87">
        <v>5</v>
      </c>
      <c r="M87"/>
      <c r="N87"/>
      <c r="O87" t="s">
        <v>35</v>
      </c>
      <c r="P87">
        <v>0.5</v>
      </c>
      <c r="Q87" t="s">
        <v>69</v>
      </c>
      <c r="R87">
        <v>11</v>
      </c>
      <c r="S87" t="s">
        <v>70</v>
      </c>
      <c r="T87">
        <v>89</v>
      </c>
      <c r="U87" t="s">
        <v>37</v>
      </c>
      <c r="V87">
        <v>90</v>
      </c>
      <c r="W87" t="n">
        <f>60*60</f>
        <v>3600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>
      <c r="A88"/>
      <c r="B88" t="str">
        <v>BrCC1=CC(OC)=CC(OC)=C1</v>
      </c>
      <c r="C88">
        <v>2</v>
      </c>
      <c r="D88" t="str">
        <v>C#Cc1ccc(C#C)cc1</v>
      </c>
      <c r="E88">
        <v>1</v>
      </c>
      <c r="F88"/>
      <c r="G88"/>
      <c r="H88" t="str">
        <v>Cu Coil</v>
      </c>
      <c r="I88" t="str">
        <v>CUSTOM</v>
      </c>
      <c r="J88" s="74" t="str">
        <v>Cu Coil; amount not reported in the source workbook.</v>
      </c>
      <c r="K88" t="s">
        <v>34</v>
      </c>
      <c r="L88">
        <v>5</v>
      </c>
      <c r="M88"/>
      <c r="N88"/>
      <c r="O88" t="s">
        <v>35</v>
      </c>
      <c r="P88">
        <v>0.75</v>
      </c>
      <c r="Q88" t="s">
        <v>69</v>
      </c>
      <c r="R88">
        <v>4</v>
      </c>
      <c r="S88" t="s">
        <v>70</v>
      </c>
      <c r="T88">
        <v>96</v>
      </c>
      <c r="U88" t="s">
        <v>37</v>
      </c>
      <c r="V88">
        <v>90</v>
      </c>
      <c r="W88" t="n">
        <f>60*60</f>
        <v>3600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>
      <c r="A89"/>
      <c r="B89" t="str">
        <v>BrCC1=CC(OC)=CC(OC)=C1</v>
      </c>
      <c r="C89">
        <v>2</v>
      </c>
      <c r="D89" t="str">
        <v>C#Cc1ccc(C#C)cc1</v>
      </c>
      <c r="E89">
        <v>1</v>
      </c>
      <c r="F89"/>
      <c r="G89"/>
      <c r="H89" t="str">
        <v>Cu Coil</v>
      </c>
      <c r="I89" t="str">
        <v>CUSTOM</v>
      </c>
      <c r="J89" s="74" t="str">
        <v>Cu Coil; amount not reported in the source workbook.</v>
      </c>
      <c r="K89" t="s">
        <v>34</v>
      </c>
      <c r="L89">
        <v>5</v>
      </c>
      <c r="M89"/>
      <c r="N89"/>
      <c r="O89" t="s">
        <v>35</v>
      </c>
      <c r="P89">
        <v>1</v>
      </c>
      <c r="Q89" t="s">
        <v>69</v>
      </c>
      <c r="R89">
        <v>0</v>
      </c>
      <c r="S89" t="s">
        <v>70</v>
      </c>
      <c r="T89">
        <v>95</v>
      </c>
      <c r="U89" t="s">
        <v>37</v>
      </c>
      <c r="V89">
        <v>90</v>
      </c>
      <c r="W89" t="n">
        <f>60*60</f>
        <v>3600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>
      <c r="A90"/>
      <c r="B90" t="s">
        <v>65</v>
      </c>
      <c r="C90">
        <v>1</v>
      </c>
      <c r="D90" t="s">
        <v>47</v>
      </c>
      <c r="E90">
        <v>1</v>
      </c>
      <c r="F90" t="s">
        <v>66</v>
      </c>
      <c r="G90">
        <v>1</v>
      </c>
      <c r="H90" t="str">
        <v>Cu Coil</v>
      </c>
      <c r="I90" t="str">
        <v>CUSTOM</v>
      </c>
      <c r="J90" s="74" t="str">
        <v>Cu Coil; amount not reported in the source workbook.</v>
      </c>
      <c r="K90" t="s">
        <v>34</v>
      </c>
      <c r="L90">
        <v>3</v>
      </c>
      <c r="M90"/>
      <c r="N90"/>
      <c r="O90" t="s">
        <v>35</v>
      </c>
      <c r="P90">
        <v>0.5</v>
      </c>
      <c r="Q90" t="s">
        <v>71</v>
      </c>
      <c r="R90">
        <v>95</v>
      </c>
      <c r="S90"/>
      <c r="T90"/>
      <c r="U90" t="s">
        <v>37</v>
      </c>
      <c r="V90">
        <v>90</v>
      </c>
      <c r="W90" t="n">
        <f>60*60</f>
        <v>3600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>
      <c r="A91"/>
      <c r="B91" t="s">
        <v>72</v>
      </c>
      <c r="C91">
        <v>4</v>
      </c>
      <c r="D91" t="s">
        <v>73</v>
      </c>
      <c r="E91">
        <v>4</v>
      </c>
      <c r="F91"/>
      <c r="G91"/>
      <c r="H91" t="str">
        <v>Cu Coil</v>
      </c>
      <c r="I91" t="str">
        <v>CUSTOM</v>
      </c>
      <c r="J91" s="74" t="str">
        <v>Cu Coil; amount not reported in the source workbook.</v>
      </c>
      <c r="K91" t="s">
        <v>34</v>
      </c>
      <c r="L91">
        <v>5</v>
      </c>
      <c r="M91"/>
      <c r="N91"/>
      <c r="O91" t="s">
        <v>35</v>
      </c>
      <c r="P91">
        <v>0.5</v>
      </c>
      <c r="Q91" t="s">
        <v>74</v>
      </c>
      <c r="R91">
        <v>88</v>
      </c>
      <c r="S91"/>
      <c r="T91"/>
      <c r="U91" t="s">
        <v>37</v>
      </c>
      <c r="V91">
        <v>90</v>
      </c>
      <c r="W91" t="n">
        <f>60*60</f>
        <v>3600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1048575">
      <c r="E1048575" s="47"/>
      <c r="F1048575" s="44"/>
    </row>
  </sheetData>
  <hyperlinks>
    <hyperlink ref="E5" r:id="rIdCmccdbLink1"/>
    <hyperlink ref="H5" r:id="rIdCmccdbLink2"/>
  </hyperlinks>
  <pageMargins left="0.7" right="0.7" top="0.75" bottom="0.75" header="0.3" footer="0.3"/>
</worksheet>
</file>