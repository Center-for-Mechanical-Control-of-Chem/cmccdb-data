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k/Documents/Postdoc/Development/cmccdb-data/incomplete/"/>
    </mc:Choice>
  </mc:AlternateContent>
  <xr:revisionPtr revIDLastSave="0" documentId="13_ncr:1_{ED9BC0D5-5976-3B4C-AAF0-E801FEA7D6AA}" xr6:coauthVersionLast="47" xr6:coauthVersionMax="47" xr10:uidLastSave="{00000000-0000-0000-0000-000000000000}"/>
  <bookViews>
    <workbookView xWindow="4580" yWindow="500" windowWidth="30600" windowHeight="19320" xr2:uid="{67C290E4-36C7-6141-BA54-B171370FD4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89" i="1" l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</calcChain>
</file>

<file path=xl/sharedStrings.xml><?xml version="1.0" encoding="utf-8"?>
<sst xmlns="http://schemas.openxmlformats.org/spreadsheetml/2006/main" count="649" uniqueCount="88">
  <si>
    <t>REACTION</t>
  </si>
  <si>
    <t>MECHANOCHEMISTRY</t>
  </si>
  <si>
    <t>EXPERIMENTER</t>
  </si>
  <si>
    <t>Reaction Type</t>
  </si>
  <si>
    <t>Type</t>
  </si>
  <si>
    <t>Organization</t>
  </si>
  <si>
    <t>VARIANTS</t>
  </si>
  <si>
    <t>REACTANT</t>
  </si>
  <si>
    <t>PRODUCT</t>
  </si>
  <si>
    <t>SMILES</t>
  </si>
  <si>
    <t>Yield (%)</t>
  </si>
  <si>
    <t>DATA</t>
  </si>
  <si>
    <t>Publication URL</t>
  </si>
  <si>
    <t>Duration (s)</t>
  </si>
  <si>
    <t>name</t>
  </si>
  <si>
    <t>Amount (millimole)</t>
  </si>
  <si>
    <t>DOI</t>
  </si>
  <si>
    <t>City</t>
  </si>
  <si>
    <t>CATALYST</t>
  </si>
  <si>
    <t>C#CC1=CC=CC=C1</t>
  </si>
  <si>
    <t>C#Cc1ccc(C#C)cc1</t>
  </si>
  <si>
    <t>copper-catalysed alkyne–azide click-coupling</t>
  </si>
  <si>
    <t>School of Chemistry, University of Birmingham</t>
  </si>
  <si>
    <t>Birmingham</t>
  </si>
  <si>
    <t>10.1039/D3SC01591B</t>
  </si>
  <si>
    <t>https://pubs.rsc.org/en/content/articlelanding/2023/sc/d3sc01591b</t>
  </si>
  <si>
    <t>BrCC1=CC=CC=C1</t>
  </si>
  <si>
    <t>O=S(C)C</t>
  </si>
  <si>
    <t>c1(Cn2nnc(c3ccccc3)c2)ccccc1</t>
  </si>
  <si>
    <t>OC</t>
  </si>
  <si>
    <t>O</t>
  </si>
  <si>
    <t>Cu Coil</t>
  </si>
  <si>
    <t>CuCl</t>
  </si>
  <si>
    <t>CuO</t>
  </si>
  <si>
    <t>Cu2O</t>
  </si>
  <si>
    <r>
      <t>Cu(OAc)</t>
    </r>
    <r>
      <rPr>
        <sz val="6"/>
        <color rgb="FF000000"/>
        <rFont val="Helvetica"/>
        <family val="2"/>
      </rPr>
      <t>2</t>
    </r>
    <r>
      <rPr>
        <sz val="9"/>
        <color rgb="FF000000"/>
        <rFont val="Helvetica"/>
        <family val="2"/>
      </rPr>
      <t xml:space="preserve"> • H</t>
    </r>
    <r>
      <rPr>
        <sz val="6"/>
        <color rgb="FF000000"/>
        <rFont val="Helvetica"/>
        <family val="2"/>
      </rPr>
      <t>2</t>
    </r>
    <r>
      <rPr>
        <sz val="9"/>
        <color rgb="FF000000"/>
        <rFont val="Helvetica"/>
        <family val="2"/>
      </rPr>
      <t>O</t>
    </r>
  </si>
  <si>
    <t>Cu Wire</t>
  </si>
  <si>
    <t>BrCC1=CC=C(Br)C=C1</t>
  </si>
  <si>
    <t>Brc1ccc(Cn2nnc(c3ccccc3)c2)cc1</t>
  </si>
  <si>
    <t>BrCC1=CC=CC(Br)=C1</t>
  </si>
  <si>
    <t>Brc1cc(Cn2nnc(c3ccccc3)c2)ccc1</t>
  </si>
  <si>
    <t>BrCC1=CC=C(C#N)C=C1</t>
  </si>
  <si>
    <t>N#Cc1ccc(Cn2nnc(c3ccccc3)c2)cc1</t>
  </si>
  <si>
    <t>BrCC1=CC(OC)=CC(OC)=C1</t>
  </si>
  <si>
    <t>COc1cc(OC)cc(Cn2nnc(c3ccccc3)c2)c1</t>
  </si>
  <si>
    <t>BrCC1=CC(C(F)(F)F)=CC(C(F)(F)F)=C1</t>
  </si>
  <si>
    <t>FC(F)(c1cc(C(F)(F)F)cc(Cn2nnc(c3ccccc3)c2)c1)F</t>
  </si>
  <si>
    <t>C#C[Si](C)(C)C</t>
  </si>
  <si>
    <t>C[Si](C)(c1nnn(Cc2ccccc2)c1)C</t>
  </si>
  <si>
    <t>C[Si](C)(c1nnn(Cc2ccc(Br)cc2)c1)C</t>
  </si>
  <si>
    <t>C[Si](C)(c1nnn(Cc2cc(Br)ccc2)c1)C</t>
  </si>
  <si>
    <t>C[Si](C)(c1nnn(Cc2ccc(C#N)cc2)c1)C</t>
  </si>
  <si>
    <t>COc1cc(OC)cc(Cn2nnc([Si](C)(C)C)c2)c1</t>
  </si>
  <si>
    <t>C[Si](C)(c1nnn(Cc2cc(C(F)(F)F)cc(C(F)(F)F)c2)c1)C</t>
  </si>
  <si>
    <t>CCCCC#C</t>
  </si>
  <si>
    <t>CCCCc1nnn(Cc2ccccc2)c1</t>
  </si>
  <si>
    <t>CCCCc1nnn(Cc2ccc(Br)cc2)c1</t>
  </si>
  <si>
    <t>CCCCc1nnn(Cc2cc(Br)ccc2)c1</t>
  </si>
  <si>
    <t>CCCCc1nnn(Cc2ccc(C#N)cc2)c1</t>
  </si>
  <si>
    <t>CCCCc1nnn(Cc2cc(OC)cc(OC)c2)c1</t>
  </si>
  <si>
    <t>CCCCc1nnn(Cc2cc(C(F)(F)F)cc(C(F)(F)F)c2)c1</t>
  </si>
  <si>
    <t>[N-]=N#N.[Na+]</t>
  </si>
  <si>
    <t>BrCc1ccccc1</t>
  </si>
  <si>
    <t>C#Cc1ccc(c2nnn(Cc3ccccc3)c2)cc1</t>
  </si>
  <si>
    <t>c1(Cn2nnc(c3ccc(c4nnn(Cc5ccccc5)c4)cc3)c2)ccccc1</t>
  </si>
  <si>
    <t>BrCC1=CC(OC)=CC(OC)=C2</t>
  </si>
  <si>
    <t>C#Cc1ccc(C#C)cc2</t>
  </si>
  <si>
    <t>BrCC1=CC(OC)=CC(OC)=C3</t>
  </si>
  <si>
    <t>C#Cc1ccc(C#C)cc3</t>
  </si>
  <si>
    <t>BrCC1=CC(OC)=CC(OC)=C4</t>
  </si>
  <si>
    <t>C#Cc1ccc(C#C)cc4</t>
  </si>
  <si>
    <t>COc1cc(OC)cc(Cn2nnc(c3ccc(c4nnn(Cc5cc(OC)cc(OC)c5)c4)cc3)c2)c1</t>
  </si>
  <si>
    <t>COc1cc(OC)cc(Cn2nnc(c3ccc(C#C)cc3)c2)c1</t>
  </si>
  <si>
    <t>COc1cc(OC)cc(Cn2nnc(c3ccc(c4nnn(Cc5ccccc5)c4)cc3)c2)c1</t>
  </si>
  <si>
    <t>FC1=C(CBr)C(F)=CC=C1</t>
  </si>
  <si>
    <t>O=C(N)C#C</t>
  </si>
  <si>
    <t>FC1=CC=CC(F)=C1CN2C=C(C(N)=O)N=N2</t>
  </si>
  <si>
    <t>Resonant Acoustic Mixing</t>
  </si>
  <si>
    <t>Record Created</t>
  </si>
  <si>
    <t>Name</t>
  </si>
  <si>
    <t>Email</t>
  </si>
  <si>
    <t>Yeu-Shiuan Ho</t>
  </si>
  <si>
    <t>yeushiuanho@tamu.edu</t>
  </si>
  <si>
    <t>Additive</t>
  </si>
  <si>
    <t>G Force (gE)</t>
  </si>
  <si>
    <t>Amount  (microliter)</t>
  </si>
  <si>
    <t>CRYSTAL_SMILES</t>
  </si>
  <si>
    <t>C#CC1=CC=CC=C1.C#CC1=CC=CC=C1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</si>
</sst>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8"/>
      <color rgb="FF000000"/>
      <name val="Helvetica"/>
      <family val="2"/>
    </font>
    <font>
      <sz val="12"/>
      <color rgb="FF000000"/>
      <name val="Times New Roman"/>
      <family val="1"/>
    </font>
    <font>
      <sz val="8"/>
      <name val="Aptos Narrow"/>
      <family val="2"/>
      <scheme val="minor"/>
    </font>
    <font>
      <sz val="7"/>
      <color rgb="FF000000"/>
      <name val="Helvetica"/>
      <family val="2"/>
    </font>
    <font>
      <u/>
      <sz val="12"/>
      <color theme="10"/>
      <name val="Aptos Narrow"/>
      <family val="2"/>
      <scheme val="minor"/>
    </font>
    <font>
      <sz val="9"/>
      <color rgb="FF000000"/>
      <name val="Helvetica"/>
      <family val="2"/>
    </font>
    <font>
      <sz val="6"/>
      <color rgb="FF000000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9" xfId="0" applyBorder="1"/>
    <xf numFmtId="0" fontId="0" fillId="0" borderId="10" xfId="0" applyBorder="1"/>
    <xf numFmtId="0" fontId="0" fillId="2" borderId="2" xfId="0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11" xfId="0" applyBorder="1"/>
    <xf numFmtId="0" fontId="0" fillId="0" borderId="12" xfId="0" applyBorder="1"/>
    <xf numFmtId="0" fontId="0" fillId="3" borderId="0" xfId="0" applyFill="1"/>
    <xf numFmtId="0" fontId="2" fillId="0" borderId="0" xfId="0" applyFont="1"/>
    <xf numFmtId="0" fontId="3" fillId="0" borderId="0" xfId="0" applyFont="1"/>
    <xf numFmtId="0" fontId="1" fillId="0" borderId="0" xfId="0" applyFont="1"/>
    <xf numFmtId="0" fontId="5" fillId="0" borderId="0" xfId="0" applyFont="1"/>
    <xf numFmtId="0" fontId="6" fillId="0" borderId="0" xfId="1"/>
    <xf numFmtId="0" fontId="7" fillId="0" borderId="0" xfId="0" applyFont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yeushiuanho@tamu.edu" TargetMode="External"/><Relationship Id="rId1" Type="http://schemas.openxmlformats.org/officeDocument/2006/relationships/hyperlink" Target="https://doi.org/10.1039/D3SC01591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7A012-DC9A-214C-8A2F-E48641012DAD}">
  <dimension ref="A2:Y1048575"/>
  <sheetViews>
    <sheetView tabSelected="1" topLeftCell="D1" zoomScale="97" zoomScaleNormal="97" workbookViewId="0">
      <selection activeCell="Q9" sqref="Q9"/>
    </sheetView>
  </sheetViews>
  <sheetFormatPr baseColWidth="10" defaultColWidth="11.1640625" defaultRowHeight="16" x14ac:dyDescent="0.2"/>
  <cols>
    <col min="2" max="2" width="19.83203125" bestFit="1" customWidth="1"/>
    <col min="3" max="3" width="19.33203125" bestFit="1" customWidth="1"/>
    <col min="4" max="4" width="18.1640625" customWidth="1"/>
    <col min="5" max="5" width="16.6640625" customWidth="1"/>
    <col min="6" max="7" width="13.5" bestFit="1" customWidth="1"/>
    <col min="9" max="9" width="13.5" bestFit="1" customWidth="1"/>
    <col min="11" max="11" width="13" bestFit="1" customWidth="1"/>
  </cols>
  <sheetData>
    <row r="2" spans="1:25" s="9" customFormat="1" x14ac:dyDescent="0.2">
      <c r="A2" s="9" t="s">
        <v>0</v>
      </c>
    </row>
    <row r="3" spans="1:25" ht="15" customHeight="1" x14ac:dyDescent="0.2">
      <c r="A3" s="14"/>
      <c r="B3" s="12" t="s">
        <v>3</v>
      </c>
      <c r="C3" t="s">
        <v>2</v>
      </c>
      <c r="D3" t="s">
        <v>17</v>
      </c>
      <c r="E3" t="s">
        <v>16</v>
      </c>
      <c r="F3" s="12" t="s">
        <v>12</v>
      </c>
      <c r="G3" t="s">
        <v>78</v>
      </c>
    </row>
    <row r="4" spans="1:25" ht="15" customHeight="1" x14ac:dyDescent="0.2">
      <c r="A4" s="14"/>
      <c r="C4" t="s">
        <v>5</v>
      </c>
      <c r="G4" t="s">
        <v>79</v>
      </c>
      <c r="H4" t="s">
        <v>80</v>
      </c>
    </row>
    <row r="5" spans="1:25" s="2" customFormat="1" x14ac:dyDescent="0.2">
      <c r="A5" s="14"/>
      <c r="B5" s="15" t="s">
        <v>21</v>
      </c>
      <c r="C5" s="18" t="s">
        <v>22</v>
      </c>
      <c r="D5" s="18" t="s">
        <v>23</v>
      </c>
      <c r="E5" s="19" t="s">
        <v>24</v>
      </c>
      <c r="F5" s="13" t="s">
        <v>25</v>
      </c>
      <c r="G5" t="s">
        <v>81</v>
      </c>
      <c r="H5" s="19" t="s">
        <v>82</v>
      </c>
      <c r="I5"/>
      <c r="J5"/>
      <c r="K5"/>
      <c r="L5"/>
      <c r="M5"/>
      <c r="N5"/>
      <c r="O5"/>
      <c r="P5"/>
      <c r="Q5"/>
    </row>
    <row r="6" spans="1:25" s="9" customFormat="1" x14ac:dyDescent="0.2">
      <c r="A6" s="9" t="s">
        <v>6</v>
      </c>
      <c r="C6" s="15"/>
    </row>
    <row r="7" spans="1:25" x14ac:dyDescent="0.2">
      <c r="A7" s="14"/>
      <c r="B7" s="3" t="s">
        <v>7</v>
      </c>
      <c r="C7" s="4"/>
      <c r="D7" s="3" t="s">
        <v>7</v>
      </c>
      <c r="E7" s="4"/>
      <c r="F7" s="3" t="s">
        <v>7</v>
      </c>
      <c r="G7" s="4"/>
      <c r="H7" s="3" t="s">
        <v>18</v>
      </c>
      <c r="I7" s="4"/>
      <c r="J7" s="3" t="s">
        <v>7</v>
      </c>
      <c r="K7" s="4"/>
      <c r="L7" s="21" t="s">
        <v>83</v>
      </c>
      <c r="M7" s="22"/>
      <c r="N7" s="3" t="s">
        <v>83</v>
      </c>
      <c r="O7" s="4"/>
      <c r="P7" s="3" t="s">
        <v>8</v>
      </c>
      <c r="Q7" s="4"/>
      <c r="R7" s="3" t="s">
        <v>8</v>
      </c>
      <c r="S7" s="4"/>
      <c r="T7" s="3" t="s">
        <v>1</v>
      </c>
      <c r="U7" s="1"/>
      <c r="V7" s="1"/>
      <c r="W7" s="1"/>
      <c r="X7" s="1"/>
      <c r="Y7" s="4"/>
    </row>
    <row r="8" spans="1:25" x14ac:dyDescent="0.2">
      <c r="A8" s="14"/>
      <c r="B8" s="5" t="s">
        <v>9</v>
      </c>
      <c r="C8" s="6" t="s">
        <v>15</v>
      </c>
      <c r="D8" s="5" t="s">
        <v>86</v>
      </c>
      <c r="E8" s="6" t="s">
        <v>15</v>
      </c>
      <c r="F8" s="5" t="s">
        <v>9</v>
      </c>
      <c r="G8" s="6" t="s">
        <v>15</v>
      </c>
      <c r="H8" s="5" t="s">
        <v>14</v>
      </c>
      <c r="I8" s="6" t="s">
        <v>15</v>
      </c>
      <c r="J8" s="5" t="s">
        <v>9</v>
      </c>
      <c r="K8" s="6" t="s">
        <v>15</v>
      </c>
      <c r="L8" s="23" t="s">
        <v>9</v>
      </c>
      <c r="M8" s="23" t="s">
        <v>85</v>
      </c>
      <c r="N8" s="5" t="s">
        <v>9</v>
      </c>
      <c r="O8" s="23" t="s">
        <v>85</v>
      </c>
      <c r="P8" s="5" t="s">
        <v>9</v>
      </c>
      <c r="Q8" s="6" t="s">
        <v>10</v>
      </c>
      <c r="R8" s="5" t="s">
        <v>9</v>
      </c>
      <c r="S8" s="6" t="s">
        <v>10</v>
      </c>
      <c r="T8" s="5" t="s">
        <v>4</v>
      </c>
      <c r="U8" s="17" t="s">
        <v>84</v>
      </c>
      <c r="V8" s="6" t="s">
        <v>13</v>
      </c>
    </row>
    <row r="9" spans="1:25" s="9" customFormat="1" x14ac:dyDescent="0.2">
      <c r="A9" s="9" t="s">
        <v>11</v>
      </c>
      <c r="B9" s="10"/>
      <c r="C9" s="11"/>
      <c r="D9" s="10"/>
      <c r="E9" s="11"/>
      <c r="H9" s="10"/>
      <c r="I9" s="11"/>
      <c r="J9" s="10"/>
      <c r="K9" s="11"/>
      <c r="N9" s="10"/>
      <c r="O9" s="11"/>
      <c r="T9" s="10"/>
      <c r="V9" s="11"/>
    </row>
    <row r="10" spans="1:25" x14ac:dyDescent="0.2">
      <c r="A10" s="14"/>
      <c r="B10" s="5" t="s">
        <v>26</v>
      </c>
      <c r="C10" s="6">
        <v>2</v>
      </c>
      <c r="D10" s="5" t="s">
        <v>87</v>
      </c>
      <c r="E10" s="6">
        <v>2</v>
      </c>
      <c r="H10" s="5" t="s">
        <v>31</v>
      </c>
      <c r="J10" s="5" t="s">
        <v>61</v>
      </c>
      <c r="K10" s="6">
        <v>3</v>
      </c>
      <c r="N10" s="5" t="s">
        <v>27</v>
      </c>
      <c r="O10" s="6">
        <v>0.5</v>
      </c>
      <c r="P10" t="s">
        <v>28</v>
      </c>
      <c r="Q10">
        <v>95</v>
      </c>
      <c r="T10" s="16" t="s">
        <v>77</v>
      </c>
      <c r="U10" s="6">
        <v>90</v>
      </c>
      <c r="V10">
        <f t="shared" ref="V10:V41" si="0">60*60</f>
        <v>3600</v>
      </c>
    </row>
    <row r="11" spans="1:25" x14ac:dyDescent="0.2">
      <c r="A11" s="14"/>
      <c r="B11" s="5" t="s">
        <v>26</v>
      </c>
      <c r="C11" s="6">
        <v>2</v>
      </c>
      <c r="D11" s="5" t="s">
        <v>19</v>
      </c>
      <c r="E11" s="6">
        <v>2</v>
      </c>
      <c r="H11" s="5" t="s">
        <v>31</v>
      </c>
      <c r="J11" s="5" t="s">
        <v>61</v>
      </c>
      <c r="K11" s="6">
        <v>3</v>
      </c>
      <c r="N11" s="5" t="s">
        <v>27</v>
      </c>
      <c r="O11" s="6">
        <v>0</v>
      </c>
      <c r="P11" t="s">
        <v>28</v>
      </c>
      <c r="Q11">
        <v>0</v>
      </c>
      <c r="T11" s="16" t="s">
        <v>77</v>
      </c>
      <c r="U11" s="6">
        <v>90</v>
      </c>
      <c r="V11">
        <f t="shared" si="0"/>
        <v>3600</v>
      </c>
    </row>
    <row r="12" spans="1:25" x14ac:dyDescent="0.2">
      <c r="A12" s="14"/>
      <c r="B12" s="5" t="s">
        <v>26</v>
      </c>
      <c r="C12" s="6">
        <v>2</v>
      </c>
      <c r="D12" s="5" t="s">
        <v>19</v>
      </c>
      <c r="E12" s="6">
        <v>2</v>
      </c>
      <c r="H12" s="5" t="s">
        <v>31</v>
      </c>
      <c r="J12" s="5" t="s">
        <v>61</v>
      </c>
      <c r="K12" s="6">
        <v>3</v>
      </c>
      <c r="N12" s="5" t="s">
        <v>27</v>
      </c>
      <c r="O12" s="6">
        <v>0.25</v>
      </c>
      <c r="P12" t="s">
        <v>28</v>
      </c>
      <c r="Q12">
        <v>91</v>
      </c>
      <c r="T12" s="16" t="s">
        <v>77</v>
      </c>
      <c r="U12" s="6">
        <v>90</v>
      </c>
      <c r="V12">
        <f t="shared" si="0"/>
        <v>3600</v>
      </c>
    </row>
    <row r="13" spans="1:25" x14ac:dyDescent="0.2">
      <c r="A13" s="14"/>
      <c r="B13" s="5" t="s">
        <v>26</v>
      </c>
      <c r="C13" s="6">
        <v>2</v>
      </c>
      <c r="D13" s="5" t="s">
        <v>19</v>
      </c>
      <c r="E13" s="6">
        <v>2</v>
      </c>
      <c r="H13" s="5" t="s">
        <v>31</v>
      </c>
      <c r="J13" s="5" t="s">
        <v>61</v>
      </c>
      <c r="K13" s="6">
        <v>3</v>
      </c>
      <c r="N13" s="5" t="s">
        <v>27</v>
      </c>
      <c r="O13" s="6">
        <v>0.75</v>
      </c>
      <c r="P13" t="s">
        <v>28</v>
      </c>
      <c r="Q13">
        <v>95</v>
      </c>
      <c r="T13" s="16" t="s">
        <v>77</v>
      </c>
      <c r="U13" s="6">
        <v>90</v>
      </c>
      <c r="V13">
        <f t="shared" si="0"/>
        <v>3600</v>
      </c>
    </row>
    <row r="14" spans="1:25" x14ac:dyDescent="0.2">
      <c r="A14" s="14"/>
      <c r="B14" s="5" t="s">
        <v>26</v>
      </c>
      <c r="C14" s="6">
        <v>2</v>
      </c>
      <c r="D14" s="5" t="s">
        <v>19</v>
      </c>
      <c r="E14" s="6">
        <v>2</v>
      </c>
      <c r="H14" s="5" t="s">
        <v>31</v>
      </c>
      <c r="J14" s="5" t="s">
        <v>61</v>
      </c>
      <c r="K14" s="6">
        <v>3</v>
      </c>
      <c r="N14" s="5" t="s">
        <v>27</v>
      </c>
      <c r="O14" s="6">
        <v>1</v>
      </c>
      <c r="P14" t="s">
        <v>28</v>
      </c>
      <c r="Q14">
        <v>95</v>
      </c>
      <c r="T14" s="16" t="s">
        <v>77</v>
      </c>
      <c r="U14" s="6">
        <v>90</v>
      </c>
      <c r="V14">
        <f t="shared" si="0"/>
        <v>3600</v>
      </c>
    </row>
    <row r="15" spans="1:25" x14ac:dyDescent="0.2">
      <c r="A15" s="14"/>
      <c r="B15" s="5" t="s">
        <v>26</v>
      </c>
      <c r="C15" s="6">
        <v>2</v>
      </c>
      <c r="D15" s="5" t="s">
        <v>19</v>
      </c>
      <c r="E15" s="6">
        <v>2</v>
      </c>
      <c r="H15" s="5" t="s">
        <v>31</v>
      </c>
      <c r="J15" s="5" t="s">
        <v>61</v>
      </c>
      <c r="K15" s="6">
        <v>3</v>
      </c>
      <c r="N15" s="5" t="s">
        <v>27</v>
      </c>
      <c r="O15" s="6">
        <v>1.25</v>
      </c>
      <c r="P15" t="s">
        <v>28</v>
      </c>
      <c r="Q15">
        <v>95</v>
      </c>
      <c r="T15" s="16" t="s">
        <v>77</v>
      </c>
      <c r="U15" s="6">
        <v>90</v>
      </c>
      <c r="V15">
        <f t="shared" si="0"/>
        <v>3600</v>
      </c>
    </row>
    <row r="16" spans="1:25" x14ac:dyDescent="0.2">
      <c r="A16" s="14"/>
      <c r="B16" s="5" t="s">
        <v>26</v>
      </c>
      <c r="C16" s="6">
        <v>2</v>
      </c>
      <c r="D16" s="5" t="s">
        <v>19</v>
      </c>
      <c r="E16" s="6">
        <v>2</v>
      </c>
      <c r="H16" s="5" t="s">
        <v>31</v>
      </c>
      <c r="J16" s="5" t="s">
        <v>61</v>
      </c>
      <c r="K16" s="6">
        <v>3</v>
      </c>
      <c r="N16" s="5" t="s">
        <v>29</v>
      </c>
      <c r="O16" s="6">
        <v>0</v>
      </c>
      <c r="P16" t="s">
        <v>28</v>
      </c>
      <c r="Q16">
        <v>0</v>
      </c>
      <c r="T16" s="16" t="s">
        <v>77</v>
      </c>
      <c r="U16" s="6">
        <v>90</v>
      </c>
      <c r="V16">
        <f t="shared" si="0"/>
        <v>3600</v>
      </c>
    </row>
    <row r="17" spans="1:22" x14ac:dyDescent="0.2">
      <c r="A17" s="14"/>
      <c r="B17" s="5" t="s">
        <v>26</v>
      </c>
      <c r="C17" s="6">
        <v>2</v>
      </c>
      <c r="D17" s="5" t="s">
        <v>19</v>
      </c>
      <c r="E17" s="6">
        <v>2</v>
      </c>
      <c r="H17" s="5" t="s">
        <v>31</v>
      </c>
      <c r="J17" s="5" t="s">
        <v>61</v>
      </c>
      <c r="K17" s="6">
        <v>3</v>
      </c>
      <c r="N17" s="5" t="s">
        <v>29</v>
      </c>
      <c r="O17" s="6">
        <v>0.25</v>
      </c>
      <c r="P17" t="s">
        <v>28</v>
      </c>
      <c r="Q17">
        <v>23</v>
      </c>
      <c r="T17" s="16" t="s">
        <v>77</v>
      </c>
      <c r="U17" s="6">
        <v>90</v>
      </c>
      <c r="V17">
        <f t="shared" si="0"/>
        <v>3600</v>
      </c>
    </row>
    <row r="18" spans="1:22" x14ac:dyDescent="0.2">
      <c r="A18" s="14"/>
      <c r="B18" s="5" t="s">
        <v>26</v>
      </c>
      <c r="C18" s="6">
        <v>2</v>
      </c>
      <c r="D18" s="5" t="s">
        <v>19</v>
      </c>
      <c r="E18" s="6">
        <v>2</v>
      </c>
      <c r="H18" s="5" t="s">
        <v>31</v>
      </c>
      <c r="J18" s="5" t="s">
        <v>61</v>
      </c>
      <c r="K18" s="6">
        <v>3</v>
      </c>
      <c r="N18" s="5" t="s">
        <v>29</v>
      </c>
      <c r="O18" s="6">
        <v>0.5</v>
      </c>
      <c r="P18" t="s">
        <v>28</v>
      </c>
      <c r="Q18">
        <v>82</v>
      </c>
      <c r="T18" s="16" t="s">
        <v>77</v>
      </c>
      <c r="U18" s="6">
        <v>90</v>
      </c>
      <c r="V18">
        <f t="shared" si="0"/>
        <v>3600</v>
      </c>
    </row>
    <row r="19" spans="1:22" x14ac:dyDescent="0.2">
      <c r="A19" s="14"/>
      <c r="B19" s="5" t="s">
        <v>26</v>
      </c>
      <c r="C19" s="6">
        <v>2</v>
      </c>
      <c r="D19" s="5" t="s">
        <v>19</v>
      </c>
      <c r="E19" s="6">
        <v>2</v>
      </c>
      <c r="H19" s="5" t="s">
        <v>31</v>
      </c>
      <c r="J19" s="5" t="s">
        <v>61</v>
      </c>
      <c r="K19" s="6">
        <v>3</v>
      </c>
      <c r="N19" s="5" t="s">
        <v>29</v>
      </c>
      <c r="O19" s="6">
        <v>0.75</v>
      </c>
      <c r="P19" t="s">
        <v>28</v>
      </c>
      <c r="Q19">
        <v>49</v>
      </c>
      <c r="T19" s="16" t="s">
        <v>77</v>
      </c>
      <c r="U19" s="6">
        <v>90</v>
      </c>
      <c r="V19">
        <f t="shared" si="0"/>
        <v>3600</v>
      </c>
    </row>
    <row r="20" spans="1:22" x14ac:dyDescent="0.2">
      <c r="A20" s="14"/>
      <c r="B20" s="5" t="s">
        <v>26</v>
      </c>
      <c r="C20" s="6">
        <v>2</v>
      </c>
      <c r="D20" s="5" t="s">
        <v>19</v>
      </c>
      <c r="E20" s="6">
        <v>2</v>
      </c>
      <c r="H20" s="5" t="s">
        <v>31</v>
      </c>
      <c r="J20" s="5" t="s">
        <v>61</v>
      </c>
      <c r="K20" s="6">
        <v>3</v>
      </c>
      <c r="N20" s="5" t="s">
        <v>29</v>
      </c>
      <c r="O20" s="6">
        <v>1</v>
      </c>
      <c r="P20" t="s">
        <v>28</v>
      </c>
      <c r="Q20">
        <v>47</v>
      </c>
      <c r="T20" s="16" t="s">
        <v>77</v>
      </c>
      <c r="U20" s="6">
        <v>90</v>
      </c>
      <c r="V20">
        <f t="shared" si="0"/>
        <v>3600</v>
      </c>
    </row>
    <row r="21" spans="1:22" x14ac:dyDescent="0.2">
      <c r="A21" s="14"/>
      <c r="B21" s="5" t="s">
        <v>26</v>
      </c>
      <c r="C21" s="6">
        <v>2</v>
      </c>
      <c r="D21" s="5" t="s">
        <v>19</v>
      </c>
      <c r="E21" s="6">
        <v>2</v>
      </c>
      <c r="H21" s="5" t="s">
        <v>31</v>
      </c>
      <c r="J21" s="5" t="s">
        <v>61</v>
      </c>
      <c r="K21" s="6">
        <v>3</v>
      </c>
      <c r="N21" s="5" t="s">
        <v>29</v>
      </c>
      <c r="O21" s="6">
        <v>1.25</v>
      </c>
      <c r="P21" t="s">
        <v>28</v>
      </c>
      <c r="Q21">
        <v>44</v>
      </c>
      <c r="T21" s="16" t="s">
        <v>77</v>
      </c>
      <c r="U21" s="6">
        <v>90</v>
      </c>
      <c r="V21">
        <f t="shared" si="0"/>
        <v>3600</v>
      </c>
    </row>
    <row r="22" spans="1:22" x14ac:dyDescent="0.2">
      <c r="A22" s="14"/>
      <c r="B22" s="5" t="s">
        <v>26</v>
      </c>
      <c r="C22" s="6">
        <v>2</v>
      </c>
      <c r="D22" s="5" t="s">
        <v>19</v>
      </c>
      <c r="E22" s="6">
        <v>2</v>
      </c>
      <c r="H22" s="5" t="s">
        <v>31</v>
      </c>
      <c r="J22" s="5" t="s">
        <v>61</v>
      </c>
      <c r="K22" s="6">
        <v>3</v>
      </c>
      <c r="N22" s="5" t="s">
        <v>30</v>
      </c>
      <c r="O22" s="6">
        <v>0</v>
      </c>
      <c r="P22" t="s">
        <v>28</v>
      </c>
      <c r="Q22">
        <v>0</v>
      </c>
      <c r="T22" s="16" t="s">
        <v>77</v>
      </c>
      <c r="U22" s="6">
        <v>90</v>
      </c>
      <c r="V22">
        <f t="shared" si="0"/>
        <v>3600</v>
      </c>
    </row>
    <row r="23" spans="1:22" x14ac:dyDescent="0.2">
      <c r="A23" s="14"/>
      <c r="B23" s="5" t="s">
        <v>26</v>
      </c>
      <c r="C23" s="6">
        <v>2</v>
      </c>
      <c r="D23" s="5" t="s">
        <v>19</v>
      </c>
      <c r="E23" s="6">
        <v>2</v>
      </c>
      <c r="H23" s="5" t="s">
        <v>31</v>
      </c>
      <c r="J23" s="5" t="s">
        <v>61</v>
      </c>
      <c r="K23" s="6">
        <v>3</v>
      </c>
      <c r="N23" s="5" t="s">
        <v>30</v>
      </c>
      <c r="O23" s="6">
        <v>0.25</v>
      </c>
      <c r="P23" t="s">
        <v>28</v>
      </c>
      <c r="Q23">
        <v>17</v>
      </c>
      <c r="T23" s="16" t="s">
        <v>77</v>
      </c>
      <c r="U23" s="6">
        <v>90</v>
      </c>
      <c r="V23">
        <f t="shared" si="0"/>
        <v>3600</v>
      </c>
    </row>
    <row r="24" spans="1:22" x14ac:dyDescent="0.2">
      <c r="A24" s="14"/>
      <c r="B24" s="5" t="s">
        <v>26</v>
      </c>
      <c r="C24" s="6">
        <v>2</v>
      </c>
      <c r="D24" s="5" t="s">
        <v>19</v>
      </c>
      <c r="E24" s="6">
        <v>2</v>
      </c>
      <c r="H24" s="5" t="s">
        <v>31</v>
      </c>
      <c r="J24" s="5" t="s">
        <v>61</v>
      </c>
      <c r="K24" s="6">
        <v>3</v>
      </c>
      <c r="N24" s="5" t="s">
        <v>30</v>
      </c>
      <c r="O24" s="6">
        <v>0.5</v>
      </c>
      <c r="P24" t="s">
        <v>28</v>
      </c>
      <c r="Q24">
        <v>32</v>
      </c>
      <c r="T24" s="16" t="s">
        <v>77</v>
      </c>
      <c r="U24" s="6">
        <v>90</v>
      </c>
      <c r="V24">
        <f t="shared" si="0"/>
        <v>3600</v>
      </c>
    </row>
    <row r="25" spans="1:22" x14ac:dyDescent="0.2">
      <c r="A25" s="14"/>
      <c r="B25" s="5" t="s">
        <v>26</v>
      </c>
      <c r="C25" s="6">
        <v>2</v>
      </c>
      <c r="D25" s="5" t="s">
        <v>19</v>
      </c>
      <c r="E25" s="6">
        <v>2</v>
      </c>
      <c r="H25" s="5" t="s">
        <v>31</v>
      </c>
      <c r="J25" s="5" t="s">
        <v>61</v>
      </c>
      <c r="K25" s="6">
        <v>3</v>
      </c>
      <c r="N25" s="5" t="s">
        <v>30</v>
      </c>
      <c r="O25" s="6">
        <v>0.75</v>
      </c>
      <c r="P25" t="s">
        <v>28</v>
      </c>
      <c r="Q25">
        <v>5</v>
      </c>
      <c r="T25" s="16" t="s">
        <v>77</v>
      </c>
      <c r="U25" s="6">
        <v>90</v>
      </c>
      <c r="V25">
        <f t="shared" si="0"/>
        <v>3600</v>
      </c>
    </row>
    <row r="26" spans="1:22" x14ac:dyDescent="0.2">
      <c r="A26" s="14"/>
      <c r="B26" s="5" t="s">
        <v>26</v>
      </c>
      <c r="C26" s="6">
        <v>2</v>
      </c>
      <c r="D26" s="5" t="s">
        <v>19</v>
      </c>
      <c r="E26" s="6">
        <v>2</v>
      </c>
      <c r="H26" s="5" t="s">
        <v>31</v>
      </c>
      <c r="J26" s="5" t="s">
        <v>61</v>
      </c>
      <c r="K26" s="6">
        <v>3</v>
      </c>
      <c r="N26" s="5" t="s">
        <v>30</v>
      </c>
      <c r="O26" s="6">
        <v>1</v>
      </c>
      <c r="P26" t="s">
        <v>28</v>
      </c>
      <c r="Q26">
        <v>9</v>
      </c>
      <c r="T26" s="16" t="s">
        <v>77</v>
      </c>
      <c r="U26" s="6">
        <v>90</v>
      </c>
      <c r="V26">
        <f t="shared" si="0"/>
        <v>3600</v>
      </c>
    </row>
    <row r="27" spans="1:22" x14ac:dyDescent="0.2">
      <c r="A27" s="14"/>
      <c r="B27" s="5" t="s">
        <v>26</v>
      </c>
      <c r="C27" s="6">
        <v>2</v>
      </c>
      <c r="D27" s="5" t="s">
        <v>19</v>
      </c>
      <c r="E27" s="6">
        <v>2</v>
      </c>
      <c r="H27" s="5" t="s">
        <v>31</v>
      </c>
      <c r="J27" s="5" t="s">
        <v>61</v>
      </c>
      <c r="K27" s="6">
        <v>3</v>
      </c>
      <c r="N27" s="5" t="s">
        <v>30</v>
      </c>
      <c r="O27" s="6">
        <v>1.25</v>
      </c>
      <c r="P27" t="s">
        <v>28</v>
      </c>
      <c r="Q27">
        <v>7</v>
      </c>
      <c r="T27" s="16" t="s">
        <v>77</v>
      </c>
      <c r="U27" s="6">
        <v>90</v>
      </c>
      <c r="V27">
        <f t="shared" si="0"/>
        <v>3600</v>
      </c>
    </row>
    <row r="28" spans="1:22" x14ac:dyDescent="0.2">
      <c r="A28" s="14"/>
      <c r="B28" s="5" t="s">
        <v>26</v>
      </c>
      <c r="C28" s="6">
        <v>2</v>
      </c>
      <c r="D28" s="5" t="s">
        <v>19</v>
      </c>
      <c r="E28" s="6">
        <v>2</v>
      </c>
      <c r="H28" s="5" t="s">
        <v>31</v>
      </c>
      <c r="J28" s="5" t="s">
        <v>61</v>
      </c>
      <c r="K28" s="6">
        <v>3</v>
      </c>
      <c r="L28" s="5" t="s">
        <v>27</v>
      </c>
      <c r="M28" s="6">
        <v>0</v>
      </c>
      <c r="N28" s="5" t="s">
        <v>30</v>
      </c>
      <c r="O28" s="6">
        <v>0</v>
      </c>
      <c r="P28" t="s">
        <v>28</v>
      </c>
      <c r="Q28" s="6">
        <v>0</v>
      </c>
      <c r="T28" s="16" t="s">
        <v>77</v>
      </c>
      <c r="U28" s="6">
        <v>90</v>
      </c>
      <c r="V28">
        <f t="shared" si="0"/>
        <v>3600</v>
      </c>
    </row>
    <row r="29" spans="1:22" x14ac:dyDescent="0.2">
      <c r="A29" s="14"/>
      <c r="B29" s="5" t="s">
        <v>26</v>
      </c>
      <c r="C29" s="6">
        <v>2</v>
      </c>
      <c r="D29" s="5" t="s">
        <v>19</v>
      </c>
      <c r="E29" s="6">
        <v>2</v>
      </c>
      <c r="H29" s="5" t="s">
        <v>31</v>
      </c>
      <c r="J29" s="5" t="s">
        <v>61</v>
      </c>
      <c r="K29" s="6">
        <v>3</v>
      </c>
      <c r="L29" s="5" t="s">
        <v>27</v>
      </c>
      <c r="M29" s="6">
        <v>0.125</v>
      </c>
      <c r="N29" s="5" t="s">
        <v>30</v>
      </c>
      <c r="O29" s="6">
        <v>0.125</v>
      </c>
      <c r="P29" t="s">
        <v>28</v>
      </c>
      <c r="Q29" s="6">
        <v>5</v>
      </c>
      <c r="T29" s="16" t="s">
        <v>77</v>
      </c>
      <c r="U29" s="6">
        <v>90</v>
      </c>
      <c r="V29">
        <f t="shared" si="0"/>
        <v>3600</v>
      </c>
    </row>
    <row r="30" spans="1:22" x14ac:dyDescent="0.2">
      <c r="A30" s="14"/>
      <c r="B30" s="5" t="s">
        <v>26</v>
      </c>
      <c r="C30" s="6">
        <v>2</v>
      </c>
      <c r="D30" s="5" t="s">
        <v>19</v>
      </c>
      <c r="E30" s="6">
        <v>2</v>
      </c>
      <c r="H30" s="5" t="s">
        <v>31</v>
      </c>
      <c r="J30" s="5" t="s">
        <v>61</v>
      </c>
      <c r="K30" s="6">
        <v>3</v>
      </c>
      <c r="L30" s="5" t="s">
        <v>27</v>
      </c>
      <c r="M30" s="6">
        <v>0.25</v>
      </c>
      <c r="N30" s="5" t="s">
        <v>30</v>
      </c>
      <c r="O30" s="6">
        <v>0.25</v>
      </c>
      <c r="P30" t="s">
        <v>28</v>
      </c>
      <c r="Q30" s="6">
        <v>5</v>
      </c>
      <c r="T30" s="16" t="s">
        <v>77</v>
      </c>
      <c r="U30" s="6">
        <v>90</v>
      </c>
      <c r="V30">
        <f t="shared" si="0"/>
        <v>3600</v>
      </c>
    </row>
    <row r="31" spans="1:22" x14ac:dyDescent="0.2">
      <c r="A31" s="14"/>
      <c r="B31" s="5" t="s">
        <v>26</v>
      </c>
      <c r="C31" s="6">
        <v>2</v>
      </c>
      <c r="D31" s="5" t="s">
        <v>19</v>
      </c>
      <c r="E31" s="6">
        <v>2</v>
      </c>
      <c r="H31" s="5" t="s">
        <v>31</v>
      </c>
      <c r="J31" s="5" t="s">
        <v>61</v>
      </c>
      <c r="K31" s="6">
        <v>3</v>
      </c>
      <c r="L31" s="5" t="s">
        <v>27</v>
      </c>
      <c r="M31" s="6">
        <v>0.375</v>
      </c>
      <c r="N31" s="5" t="s">
        <v>30</v>
      </c>
      <c r="O31" s="6">
        <v>0.375</v>
      </c>
      <c r="P31" t="s">
        <v>28</v>
      </c>
      <c r="Q31" s="6">
        <v>6</v>
      </c>
      <c r="T31" s="16" t="s">
        <v>77</v>
      </c>
      <c r="U31" s="6">
        <v>90</v>
      </c>
      <c r="V31">
        <f t="shared" si="0"/>
        <v>3600</v>
      </c>
    </row>
    <row r="32" spans="1:22" x14ac:dyDescent="0.2">
      <c r="A32" s="14"/>
      <c r="B32" s="5" t="s">
        <v>26</v>
      </c>
      <c r="C32" s="6">
        <v>2</v>
      </c>
      <c r="D32" s="5" t="s">
        <v>19</v>
      </c>
      <c r="E32" s="6">
        <v>2</v>
      </c>
      <c r="H32" s="5" t="s">
        <v>31</v>
      </c>
      <c r="J32" s="5" t="s">
        <v>61</v>
      </c>
      <c r="K32" s="6">
        <v>3</v>
      </c>
      <c r="L32" s="5" t="s">
        <v>27</v>
      </c>
      <c r="M32" s="6">
        <v>0.5</v>
      </c>
      <c r="N32" s="5" t="s">
        <v>30</v>
      </c>
      <c r="O32" s="6">
        <v>0.5</v>
      </c>
      <c r="P32" t="s">
        <v>28</v>
      </c>
      <c r="Q32" s="6">
        <v>9</v>
      </c>
      <c r="T32" s="16" t="s">
        <v>77</v>
      </c>
      <c r="U32" s="6">
        <v>90</v>
      </c>
      <c r="V32">
        <f t="shared" si="0"/>
        <v>3600</v>
      </c>
    </row>
    <row r="33" spans="1:22" x14ac:dyDescent="0.2">
      <c r="A33" s="14"/>
      <c r="B33" s="5" t="s">
        <v>26</v>
      </c>
      <c r="C33" s="6">
        <v>2</v>
      </c>
      <c r="D33" s="5" t="s">
        <v>19</v>
      </c>
      <c r="E33" s="6">
        <v>2</v>
      </c>
      <c r="H33" s="5" t="s">
        <v>31</v>
      </c>
      <c r="J33" s="5" t="s">
        <v>61</v>
      </c>
      <c r="K33" s="6">
        <v>3</v>
      </c>
      <c r="L33" s="5" t="s">
        <v>27</v>
      </c>
      <c r="M33" s="6">
        <v>0.625</v>
      </c>
      <c r="N33" s="5" t="s">
        <v>30</v>
      </c>
      <c r="O33" s="6">
        <v>0.625</v>
      </c>
      <c r="P33" t="s">
        <v>28</v>
      </c>
      <c r="Q33" s="6">
        <v>9</v>
      </c>
      <c r="T33" s="16" t="s">
        <v>77</v>
      </c>
      <c r="U33" s="6">
        <v>90</v>
      </c>
      <c r="V33">
        <f t="shared" si="0"/>
        <v>3600</v>
      </c>
    </row>
    <row r="34" spans="1:22" x14ac:dyDescent="0.2">
      <c r="A34" s="14"/>
      <c r="B34" s="5" t="s">
        <v>26</v>
      </c>
      <c r="C34" s="6">
        <v>2</v>
      </c>
      <c r="D34" s="5" t="s">
        <v>19</v>
      </c>
      <c r="E34" s="6">
        <v>2</v>
      </c>
      <c r="H34" s="5" t="s">
        <v>31</v>
      </c>
      <c r="J34" s="5" t="s">
        <v>61</v>
      </c>
      <c r="K34" s="6">
        <v>3</v>
      </c>
      <c r="L34" s="5" t="s">
        <v>27</v>
      </c>
      <c r="M34" s="6">
        <v>0</v>
      </c>
      <c r="N34" s="5" t="s">
        <v>29</v>
      </c>
      <c r="O34" s="6">
        <v>0</v>
      </c>
      <c r="P34" t="s">
        <v>28</v>
      </c>
      <c r="Q34" s="6">
        <v>0</v>
      </c>
      <c r="T34" s="16" t="s">
        <v>77</v>
      </c>
      <c r="U34" s="6">
        <v>90</v>
      </c>
      <c r="V34">
        <f t="shared" si="0"/>
        <v>3600</v>
      </c>
    </row>
    <row r="35" spans="1:22" x14ac:dyDescent="0.2">
      <c r="A35" s="14"/>
      <c r="B35" s="5" t="s">
        <v>26</v>
      </c>
      <c r="C35" s="6">
        <v>2</v>
      </c>
      <c r="D35" s="5" t="s">
        <v>19</v>
      </c>
      <c r="E35" s="6">
        <v>2</v>
      </c>
      <c r="H35" s="5" t="s">
        <v>31</v>
      </c>
      <c r="J35" s="5" t="s">
        <v>61</v>
      </c>
      <c r="K35" s="6">
        <v>3</v>
      </c>
      <c r="L35" s="5" t="s">
        <v>27</v>
      </c>
      <c r="M35" s="6">
        <v>0.125</v>
      </c>
      <c r="N35" s="5" t="s">
        <v>29</v>
      </c>
      <c r="O35" s="6">
        <v>0.125</v>
      </c>
      <c r="P35" t="s">
        <v>28</v>
      </c>
      <c r="Q35" s="6">
        <v>23</v>
      </c>
      <c r="T35" s="16" t="s">
        <v>77</v>
      </c>
      <c r="U35" s="6">
        <v>90</v>
      </c>
      <c r="V35">
        <f t="shared" si="0"/>
        <v>3600</v>
      </c>
    </row>
    <row r="36" spans="1:22" x14ac:dyDescent="0.2">
      <c r="A36" s="14"/>
      <c r="B36" s="5" t="s">
        <v>26</v>
      </c>
      <c r="C36" s="6">
        <v>2</v>
      </c>
      <c r="D36" s="5" t="s">
        <v>19</v>
      </c>
      <c r="E36" s="6">
        <v>2</v>
      </c>
      <c r="H36" s="5" t="s">
        <v>31</v>
      </c>
      <c r="J36" s="5" t="s">
        <v>61</v>
      </c>
      <c r="K36" s="6">
        <v>3</v>
      </c>
      <c r="L36" s="5" t="s">
        <v>27</v>
      </c>
      <c r="M36" s="6">
        <v>0.25</v>
      </c>
      <c r="N36" s="5" t="s">
        <v>29</v>
      </c>
      <c r="O36" s="6">
        <v>0.25</v>
      </c>
      <c r="P36" t="s">
        <v>28</v>
      </c>
      <c r="Q36" s="6">
        <v>82</v>
      </c>
      <c r="T36" s="16" t="s">
        <v>77</v>
      </c>
      <c r="U36" s="6">
        <v>90</v>
      </c>
      <c r="V36">
        <f t="shared" si="0"/>
        <v>3600</v>
      </c>
    </row>
    <row r="37" spans="1:22" x14ac:dyDescent="0.2">
      <c r="A37" s="14"/>
      <c r="B37" s="5" t="s">
        <v>26</v>
      </c>
      <c r="C37" s="6">
        <v>2</v>
      </c>
      <c r="D37" s="5" t="s">
        <v>19</v>
      </c>
      <c r="E37" s="6">
        <v>2</v>
      </c>
      <c r="H37" s="5" t="s">
        <v>31</v>
      </c>
      <c r="J37" s="5" t="s">
        <v>61</v>
      </c>
      <c r="K37" s="6">
        <v>3</v>
      </c>
      <c r="L37" s="5" t="s">
        <v>27</v>
      </c>
      <c r="M37" s="6">
        <v>0.375</v>
      </c>
      <c r="N37" s="5" t="s">
        <v>29</v>
      </c>
      <c r="O37" s="6">
        <v>0.375</v>
      </c>
      <c r="P37" t="s">
        <v>28</v>
      </c>
      <c r="Q37" s="6">
        <v>49</v>
      </c>
      <c r="T37" s="16" t="s">
        <v>77</v>
      </c>
      <c r="U37" s="6">
        <v>90</v>
      </c>
      <c r="V37">
        <f t="shared" si="0"/>
        <v>3600</v>
      </c>
    </row>
    <row r="38" spans="1:22" x14ac:dyDescent="0.2">
      <c r="A38" s="14"/>
      <c r="B38" s="5" t="s">
        <v>26</v>
      </c>
      <c r="C38" s="6">
        <v>2</v>
      </c>
      <c r="D38" s="5" t="s">
        <v>19</v>
      </c>
      <c r="E38" s="6">
        <v>2</v>
      </c>
      <c r="H38" s="5" t="s">
        <v>31</v>
      </c>
      <c r="J38" s="5" t="s">
        <v>61</v>
      </c>
      <c r="K38" s="6">
        <v>3</v>
      </c>
      <c r="L38" s="5" t="s">
        <v>27</v>
      </c>
      <c r="M38" s="6">
        <v>0.5</v>
      </c>
      <c r="N38" s="5" t="s">
        <v>29</v>
      </c>
      <c r="O38" s="6">
        <v>0.5</v>
      </c>
      <c r="P38" t="s">
        <v>28</v>
      </c>
      <c r="Q38" s="6">
        <v>47</v>
      </c>
      <c r="T38" s="16" t="s">
        <v>77</v>
      </c>
      <c r="U38" s="6">
        <v>90</v>
      </c>
      <c r="V38">
        <f t="shared" si="0"/>
        <v>3600</v>
      </c>
    </row>
    <row r="39" spans="1:22" x14ac:dyDescent="0.2">
      <c r="A39" s="14"/>
      <c r="B39" s="5" t="s">
        <v>26</v>
      </c>
      <c r="C39" s="6">
        <v>2</v>
      </c>
      <c r="D39" s="5" t="s">
        <v>19</v>
      </c>
      <c r="E39" s="6">
        <v>2</v>
      </c>
      <c r="H39" s="5" t="s">
        <v>31</v>
      </c>
      <c r="J39" s="5" t="s">
        <v>61</v>
      </c>
      <c r="K39" s="6">
        <v>3</v>
      </c>
      <c r="L39" s="5" t="s">
        <v>27</v>
      </c>
      <c r="M39" s="6">
        <v>0.625</v>
      </c>
      <c r="N39" s="5" t="s">
        <v>29</v>
      </c>
      <c r="O39" s="6">
        <v>0.625</v>
      </c>
      <c r="P39" t="s">
        <v>28</v>
      </c>
      <c r="Q39" s="6">
        <v>44</v>
      </c>
      <c r="T39" s="16" t="s">
        <v>77</v>
      </c>
      <c r="U39" s="6">
        <v>90</v>
      </c>
      <c r="V39">
        <f t="shared" si="0"/>
        <v>3600</v>
      </c>
    </row>
    <row r="40" spans="1:22" x14ac:dyDescent="0.2">
      <c r="A40" s="14"/>
      <c r="B40" s="5" t="s">
        <v>26</v>
      </c>
      <c r="C40" s="6">
        <v>2</v>
      </c>
      <c r="D40" s="5" t="s">
        <v>19</v>
      </c>
      <c r="E40" s="6">
        <v>2</v>
      </c>
      <c r="H40" s="5" t="s">
        <v>32</v>
      </c>
      <c r="J40" s="5" t="s">
        <v>61</v>
      </c>
      <c r="K40" s="6">
        <v>3</v>
      </c>
      <c r="N40" s="5" t="s">
        <v>27</v>
      </c>
      <c r="O40" s="6">
        <v>0.5</v>
      </c>
      <c r="P40" t="s">
        <v>28</v>
      </c>
      <c r="Q40">
        <v>31</v>
      </c>
      <c r="T40" s="16" t="s">
        <v>77</v>
      </c>
      <c r="U40" s="6">
        <v>90</v>
      </c>
      <c r="V40">
        <f t="shared" si="0"/>
        <v>3600</v>
      </c>
    </row>
    <row r="41" spans="1:22" x14ac:dyDescent="0.2">
      <c r="A41" s="14"/>
      <c r="B41" s="5" t="s">
        <v>26</v>
      </c>
      <c r="C41" s="6">
        <v>2</v>
      </c>
      <c r="D41" s="5" t="s">
        <v>19</v>
      </c>
      <c r="E41" s="6">
        <v>2</v>
      </c>
      <c r="H41" s="5" t="s">
        <v>33</v>
      </c>
      <c r="J41" s="5" t="s">
        <v>61</v>
      </c>
      <c r="K41" s="6">
        <v>3</v>
      </c>
      <c r="N41" s="5" t="s">
        <v>27</v>
      </c>
      <c r="O41" s="6">
        <v>0.5</v>
      </c>
      <c r="P41" t="s">
        <v>28</v>
      </c>
      <c r="Q41">
        <v>0</v>
      </c>
      <c r="T41" s="16" t="s">
        <v>77</v>
      </c>
      <c r="U41" s="6">
        <v>90</v>
      </c>
      <c r="V41">
        <f t="shared" si="0"/>
        <v>3600</v>
      </c>
    </row>
    <row r="42" spans="1:22" x14ac:dyDescent="0.2">
      <c r="A42" s="14"/>
      <c r="B42" s="5" t="s">
        <v>26</v>
      </c>
      <c r="C42" s="6">
        <v>2</v>
      </c>
      <c r="D42" s="5" t="s">
        <v>19</v>
      </c>
      <c r="E42" s="6">
        <v>2</v>
      </c>
      <c r="H42" s="5" t="s">
        <v>34</v>
      </c>
      <c r="J42" s="5" t="s">
        <v>61</v>
      </c>
      <c r="K42" s="6">
        <v>3</v>
      </c>
      <c r="N42" s="5" t="s">
        <v>27</v>
      </c>
      <c r="O42" s="6">
        <v>0.5</v>
      </c>
      <c r="P42" t="s">
        <v>28</v>
      </c>
      <c r="Q42">
        <v>23</v>
      </c>
      <c r="T42" s="16" t="s">
        <v>77</v>
      </c>
      <c r="U42" s="6">
        <v>90</v>
      </c>
      <c r="V42">
        <f t="shared" ref="V42:V61" si="1">60*60</f>
        <v>3600</v>
      </c>
    </row>
    <row r="43" spans="1:22" x14ac:dyDescent="0.2">
      <c r="A43" s="14"/>
      <c r="B43" s="5" t="s">
        <v>26</v>
      </c>
      <c r="C43" s="6">
        <v>2</v>
      </c>
      <c r="D43" s="5" t="s">
        <v>19</v>
      </c>
      <c r="E43" s="6">
        <v>2</v>
      </c>
      <c r="H43" s="20" t="s">
        <v>35</v>
      </c>
      <c r="J43" s="5" t="s">
        <v>61</v>
      </c>
      <c r="K43" s="6">
        <v>3</v>
      </c>
      <c r="N43" s="5" t="s">
        <v>27</v>
      </c>
      <c r="O43" s="6">
        <v>0.5</v>
      </c>
      <c r="P43" t="s">
        <v>28</v>
      </c>
      <c r="Q43">
        <v>26</v>
      </c>
      <c r="T43" s="16" t="s">
        <v>77</v>
      </c>
      <c r="U43" s="6">
        <v>90</v>
      </c>
      <c r="V43">
        <f t="shared" si="1"/>
        <v>3600</v>
      </c>
    </row>
    <row r="44" spans="1:22" x14ac:dyDescent="0.2">
      <c r="A44" s="14"/>
      <c r="B44" s="5" t="s">
        <v>26</v>
      </c>
      <c r="C44" s="6">
        <v>2</v>
      </c>
      <c r="D44" s="5" t="s">
        <v>19</v>
      </c>
      <c r="E44" s="6">
        <v>2</v>
      </c>
      <c r="H44" s="5" t="s">
        <v>36</v>
      </c>
      <c r="J44" s="5" t="s">
        <v>61</v>
      </c>
      <c r="K44" s="6">
        <v>3</v>
      </c>
      <c r="N44" s="5" t="s">
        <v>27</v>
      </c>
      <c r="O44" s="6">
        <v>0.5</v>
      </c>
      <c r="P44" t="s">
        <v>28</v>
      </c>
      <c r="Q44">
        <v>24</v>
      </c>
      <c r="T44" s="16" t="s">
        <v>77</v>
      </c>
      <c r="U44" s="6">
        <v>90</v>
      </c>
      <c r="V44">
        <f t="shared" si="1"/>
        <v>3600</v>
      </c>
    </row>
    <row r="45" spans="1:22" x14ac:dyDescent="0.2">
      <c r="A45" s="14"/>
      <c r="B45" s="5" t="s">
        <v>37</v>
      </c>
      <c r="C45" s="6">
        <v>2</v>
      </c>
      <c r="D45" s="5" t="s">
        <v>19</v>
      </c>
      <c r="E45" s="6">
        <v>2</v>
      </c>
      <c r="H45" s="5" t="s">
        <v>31</v>
      </c>
      <c r="I45" s="6"/>
      <c r="J45" s="5" t="s">
        <v>61</v>
      </c>
      <c r="K45" s="6">
        <v>3</v>
      </c>
      <c r="L45" s="5"/>
      <c r="M45" s="6"/>
      <c r="N45" s="5" t="s">
        <v>27</v>
      </c>
      <c r="O45" s="6">
        <v>0.5</v>
      </c>
      <c r="P45" t="s">
        <v>38</v>
      </c>
      <c r="Q45">
        <v>95</v>
      </c>
      <c r="R45" s="5"/>
      <c r="S45" s="6"/>
      <c r="T45" s="16" t="s">
        <v>77</v>
      </c>
      <c r="U45" s="6">
        <v>90</v>
      </c>
      <c r="V45">
        <f t="shared" si="1"/>
        <v>3600</v>
      </c>
    </row>
    <row r="46" spans="1:22" x14ac:dyDescent="0.2">
      <c r="A46" s="14"/>
      <c r="B46" s="5" t="s">
        <v>39</v>
      </c>
      <c r="C46" s="6">
        <v>2</v>
      </c>
      <c r="D46" s="5" t="s">
        <v>19</v>
      </c>
      <c r="E46" s="6">
        <v>2</v>
      </c>
      <c r="H46" s="5" t="s">
        <v>31</v>
      </c>
      <c r="J46" s="5" t="s">
        <v>61</v>
      </c>
      <c r="K46" s="6">
        <v>3</v>
      </c>
      <c r="L46" s="5"/>
      <c r="M46" s="6"/>
      <c r="N46" s="5" t="s">
        <v>27</v>
      </c>
      <c r="O46" s="6">
        <v>0.5</v>
      </c>
      <c r="P46" t="s">
        <v>40</v>
      </c>
      <c r="Q46">
        <v>94</v>
      </c>
      <c r="R46" s="5"/>
      <c r="S46" s="6"/>
      <c r="T46" s="16" t="s">
        <v>77</v>
      </c>
      <c r="U46" s="6">
        <v>90</v>
      </c>
      <c r="V46">
        <f t="shared" si="1"/>
        <v>3600</v>
      </c>
    </row>
    <row r="47" spans="1:22" x14ac:dyDescent="0.2">
      <c r="A47" s="14"/>
      <c r="B47" s="5" t="s">
        <v>41</v>
      </c>
      <c r="C47" s="6">
        <v>2</v>
      </c>
      <c r="D47" s="5" t="s">
        <v>19</v>
      </c>
      <c r="E47" s="6">
        <v>2</v>
      </c>
      <c r="H47" s="5" t="s">
        <v>31</v>
      </c>
      <c r="J47" s="5" t="s">
        <v>61</v>
      </c>
      <c r="K47" s="6">
        <v>3</v>
      </c>
      <c r="L47" s="5"/>
      <c r="M47" s="6"/>
      <c r="N47" s="5" t="s">
        <v>27</v>
      </c>
      <c r="O47" s="6">
        <v>0.5</v>
      </c>
      <c r="P47" t="s">
        <v>42</v>
      </c>
      <c r="Q47">
        <v>92</v>
      </c>
      <c r="R47" s="5"/>
      <c r="S47" s="6"/>
      <c r="T47" s="16" t="s">
        <v>77</v>
      </c>
      <c r="U47" s="6">
        <v>90</v>
      </c>
      <c r="V47">
        <f t="shared" si="1"/>
        <v>3600</v>
      </c>
    </row>
    <row r="48" spans="1:22" x14ac:dyDescent="0.2">
      <c r="A48" s="14"/>
      <c r="B48" s="5" t="s">
        <v>43</v>
      </c>
      <c r="C48" s="6">
        <v>2</v>
      </c>
      <c r="D48" s="5" t="s">
        <v>19</v>
      </c>
      <c r="E48" s="6">
        <v>2</v>
      </c>
      <c r="H48" s="5" t="s">
        <v>31</v>
      </c>
      <c r="J48" s="5" t="s">
        <v>61</v>
      </c>
      <c r="K48" s="6">
        <v>3</v>
      </c>
      <c r="L48" s="5"/>
      <c r="M48" s="6"/>
      <c r="N48" s="5" t="s">
        <v>27</v>
      </c>
      <c r="O48" s="6">
        <v>0.5</v>
      </c>
      <c r="P48" t="s">
        <v>44</v>
      </c>
      <c r="Q48">
        <v>95</v>
      </c>
      <c r="R48" s="5"/>
      <c r="S48" s="6"/>
      <c r="T48" s="16" t="s">
        <v>77</v>
      </c>
      <c r="U48" s="6">
        <v>90</v>
      </c>
      <c r="V48">
        <f t="shared" si="1"/>
        <v>3600</v>
      </c>
    </row>
    <row r="49" spans="1:22" x14ac:dyDescent="0.2">
      <c r="A49" s="14"/>
      <c r="B49" s="5" t="s">
        <v>45</v>
      </c>
      <c r="C49" s="6">
        <v>2</v>
      </c>
      <c r="D49" s="5" t="s">
        <v>19</v>
      </c>
      <c r="E49" s="6">
        <v>2</v>
      </c>
      <c r="H49" s="5" t="s">
        <v>31</v>
      </c>
      <c r="J49" s="5" t="s">
        <v>61</v>
      </c>
      <c r="K49" s="6">
        <v>3</v>
      </c>
      <c r="L49" s="5"/>
      <c r="M49" s="6"/>
      <c r="N49" s="5" t="s">
        <v>27</v>
      </c>
      <c r="O49" s="6">
        <v>0.5</v>
      </c>
      <c r="P49" t="s">
        <v>46</v>
      </c>
      <c r="Q49">
        <v>95</v>
      </c>
      <c r="R49" s="5"/>
      <c r="S49" s="6"/>
      <c r="T49" s="16" t="s">
        <v>77</v>
      </c>
      <c r="U49" s="6">
        <v>90</v>
      </c>
      <c r="V49">
        <f t="shared" si="1"/>
        <v>3600</v>
      </c>
    </row>
    <row r="50" spans="1:22" x14ac:dyDescent="0.2">
      <c r="A50" s="14"/>
      <c r="B50" s="5" t="s">
        <v>26</v>
      </c>
      <c r="C50" s="6">
        <v>2</v>
      </c>
      <c r="D50" s="5" t="s">
        <v>47</v>
      </c>
      <c r="E50" s="6">
        <v>2</v>
      </c>
      <c r="H50" s="5" t="s">
        <v>31</v>
      </c>
      <c r="J50" s="5" t="s">
        <v>61</v>
      </c>
      <c r="K50" s="6">
        <v>3</v>
      </c>
      <c r="L50" s="5"/>
      <c r="M50" s="6"/>
      <c r="N50" s="5" t="s">
        <v>27</v>
      </c>
      <c r="O50" s="6">
        <v>0.5</v>
      </c>
      <c r="P50" t="s">
        <v>48</v>
      </c>
      <c r="Q50">
        <v>88</v>
      </c>
      <c r="R50" s="5"/>
      <c r="S50" s="6"/>
      <c r="T50" s="16" t="s">
        <v>77</v>
      </c>
      <c r="U50" s="6">
        <v>90</v>
      </c>
      <c r="V50">
        <f t="shared" si="1"/>
        <v>3600</v>
      </c>
    </row>
    <row r="51" spans="1:22" x14ac:dyDescent="0.2">
      <c r="A51" s="14"/>
      <c r="B51" s="5" t="s">
        <v>37</v>
      </c>
      <c r="C51" s="6">
        <v>2</v>
      </c>
      <c r="D51" s="5" t="s">
        <v>47</v>
      </c>
      <c r="E51" s="6">
        <v>2</v>
      </c>
      <c r="H51" s="5" t="s">
        <v>31</v>
      </c>
      <c r="J51" s="5" t="s">
        <v>61</v>
      </c>
      <c r="K51" s="6">
        <v>3</v>
      </c>
      <c r="L51" s="5"/>
      <c r="M51" s="6"/>
      <c r="N51" s="5" t="s">
        <v>27</v>
      </c>
      <c r="O51" s="6">
        <v>0.5</v>
      </c>
      <c r="P51" t="s">
        <v>49</v>
      </c>
      <c r="Q51">
        <v>95</v>
      </c>
      <c r="R51" s="5"/>
      <c r="S51" s="6"/>
      <c r="T51" s="16" t="s">
        <v>77</v>
      </c>
      <c r="U51" s="6">
        <v>90</v>
      </c>
      <c r="V51">
        <f t="shared" si="1"/>
        <v>3600</v>
      </c>
    </row>
    <row r="52" spans="1:22" x14ac:dyDescent="0.2">
      <c r="A52" s="14"/>
      <c r="B52" s="5" t="s">
        <v>39</v>
      </c>
      <c r="C52" s="6">
        <v>2</v>
      </c>
      <c r="D52" s="5" t="s">
        <v>47</v>
      </c>
      <c r="E52" s="6">
        <v>2</v>
      </c>
      <c r="H52" s="5" t="s">
        <v>31</v>
      </c>
      <c r="J52" s="5" t="s">
        <v>61</v>
      </c>
      <c r="K52" s="6">
        <v>3</v>
      </c>
      <c r="L52" s="5"/>
      <c r="M52" s="6"/>
      <c r="N52" s="5" t="s">
        <v>27</v>
      </c>
      <c r="O52" s="6">
        <v>0.5</v>
      </c>
      <c r="P52" t="s">
        <v>50</v>
      </c>
      <c r="Q52">
        <v>80</v>
      </c>
      <c r="R52" s="5"/>
      <c r="S52" s="6"/>
      <c r="T52" s="16" t="s">
        <v>77</v>
      </c>
      <c r="U52" s="6">
        <v>90</v>
      </c>
      <c r="V52">
        <f t="shared" si="1"/>
        <v>3600</v>
      </c>
    </row>
    <row r="53" spans="1:22" x14ac:dyDescent="0.2">
      <c r="A53" s="14"/>
      <c r="B53" s="5" t="s">
        <v>41</v>
      </c>
      <c r="C53" s="6">
        <v>2</v>
      </c>
      <c r="D53" s="5" t="s">
        <v>47</v>
      </c>
      <c r="E53" s="6">
        <v>2</v>
      </c>
      <c r="H53" s="5" t="s">
        <v>31</v>
      </c>
      <c r="J53" s="5" t="s">
        <v>61</v>
      </c>
      <c r="K53" s="6">
        <v>3</v>
      </c>
      <c r="L53" s="5"/>
      <c r="M53" s="6"/>
      <c r="N53" s="5" t="s">
        <v>27</v>
      </c>
      <c r="O53" s="6">
        <v>0.5</v>
      </c>
      <c r="P53" t="s">
        <v>51</v>
      </c>
      <c r="Q53">
        <v>94</v>
      </c>
      <c r="R53" s="5"/>
      <c r="S53" s="6"/>
      <c r="T53" s="16" t="s">
        <v>77</v>
      </c>
      <c r="U53" s="6">
        <v>90</v>
      </c>
      <c r="V53">
        <f t="shared" si="1"/>
        <v>3600</v>
      </c>
    </row>
    <row r="54" spans="1:22" x14ac:dyDescent="0.2">
      <c r="A54" s="14"/>
      <c r="B54" s="5" t="s">
        <v>43</v>
      </c>
      <c r="C54" s="6">
        <v>2</v>
      </c>
      <c r="D54" s="5" t="s">
        <v>47</v>
      </c>
      <c r="E54" s="6">
        <v>2</v>
      </c>
      <c r="H54" s="5" t="s">
        <v>31</v>
      </c>
      <c r="J54" s="5" t="s">
        <v>61</v>
      </c>
      <c r="K54" s="6">
        <v>3</v>
      </c>
      <c r="L54" s="5"/>
      <c r="M54" s="6"/>
      <c r="N54" s="5" t="s">
        <v>27</v>
      </c>
      <c r="O54" s="6">
        <v>0.5</v>
      </c>
      <c r="P54" t="s">
        <v>52</v>
      </c>
      <c r="Q54">
        <v>93</v>
      </c>
      <c r="R54" s="5"/>
      <c r="S54" s="6"/>
      <c r="T54" s="16" t="s">
        <v>77</v>
      </c>
      <c r="U54" s="6">
        <v>90</v>
      </c>
      <c r="V54">
        <f t="shared" si="1"/>
        <v>3600</v>
      </c>
    </row>
    <row r="55" spans="1:22" x14ac:dyDescent="0.2">
      <c r="A55" s="14"/>
      <c r="B55" s="5" t="s">
        <v>45</v>
      </c>
      <c r="C55" s="6">
        <v>2</v>
      </c>
      <c r="D55" s="5" t="s">
        <v>47</v>
      </c>
      <c r="E55" s="6">
        <v>2</v>
      </c>
      <c r="H55" s="5" t="s">
        <v>31</v>
      </c>
      <c r="J55" s="5" t="s">
        <v>61</v>
      </c>
      <c r="K55" s="6">
        <v>3</v>
      </c>
      <c r="L55" s="5"/>
      <c r="M55" s="6"/>
      <c r="N55" s="5" t="s">
        <v>27</v>
      </c>
      <c r="O55" s="6">
        <v>0.5</v>
      </c>
      <c r="P55" t="s">
        <v>53</v>
      </c>
      <c r="Q55">
        <v>84</v>
      </c>
      <c r="R55" s="5"/>
      <c r="S55" s="6"/>
      <c r="T55" s="16" t="s">
        <v>77</v>
      </c>
      <c r="U55" s="6">
        <v>90</v>
      </c>
      <c r="V55">
        <f t="shared" si="1"/>
        <v>3600</v>
      </c>
    </row>
    <row r="56" spans="1:22" x14ac:dyDescent="0.2">
      <c r="A56" s="14"/>
      <c r="B56" s="5" t="s">
        <v>26</v>
      </c>
      <c r="C56" s="6">
        <v>2</v>
      </c>
      <c r="D56" s="5" t="s">
        <v>54</v>
      </c>
      <c r="E56" s="6">
        <v>2</v>
      </c>
      <c r="H56" s="5" t="s">
        <v>31</v>
      </c>
      <c r="J56" s="5" t="s">
        <v>61</v>
      </c>
      <c r="K56" s="6">
        <v>3</v>
      </c>
      <c r="L56" s="5"/>
      <c r="M56" s="6"/>
      <c r="N56" s="5" t="s">
        <v>27</v>
      </c>
      <c r="O56" s="6">
        <v>0.5</v>
      </c>
      <c r="P56" t="s">
        <v>55</v>
      </c>
      <c r="Q56">
        <v>93</v>
      </c>
      <c r="R56" s="5"/>
      <c r="S56" s="6"/>
      <c r="T56" s="16" t="s">
        <v>77</v>
      </c>
      <c r="U56" s="6">
        <v>90</v>
      </c>
      <c r="V56">
        <f t="shared" si="1"/>
        <v>3600</v>
      </c>
    </row>
    <row r="57" spans="1:22" x14ac:dyDescent="0.2">
      <c r="A57" s="14"/>
      <c r="B57" s="5" t="s">
        <v>37</v>
      </c>
      <c r="C57" s="6">
        <v>2</v>
      </c>
      <c r="D57" s="5" t="s">
        <v>54</v>
      </c>
      <c r="E57" s="6">
        <v>2</v>
      </c>
      <c r="H57" s="5" t="s">
        <v>31</v>
      </c>
      <c r="J57" s="5" t="s">
        <v>61</v>
      </c>
      <c r="K57" s="6">
        <v>3</v>
      </c>
      <c r="L57" s="5"/>
      <c r="M57" s="6"/>
      <c r="N57" s="5" t="s">
        <v>27</v>
      </c>
      <c r="O57" s="6">
        <v>0.5</v>
      </c>
      <c r="P57" t="s">
        <v>56</v>
      </c>
      <c r="Q57">
        <v>87</v>
      </c>
      <c r="R57" s="5"/>
      <c r="S57" s="6"/>
      <c r="T57" s="16" t="s">
        <v>77</v>
      </c>
      <c r="U57" s="6">
        <v>90</v>
      </c>
      <c r="V57">
        <f t="shared" si="1"/>
        <v>3600</v>
      </c>
    </row>
    <row r="58" spans="1:22" x14ac:dyDescent="0.2">
      <c r="A58" s="14"/>
      <c r="B58" s="5" t="s">
        <v>39</v>
      </c>
      <c r="C58" s="6">
        <v>2</v>
      </c>
      <c r="D58" s="5" t="s">
        <v>54</v>
      </c>
      <c r="E58" s="6">
        <v>2</v>
      </c>
      <c r="H58" s="5" t="s">
        <v>31</v>
      </c>
      <c r="J58" s="5" t="s">
        <v>61</v>
      </c>
      <c r="K58" s="6">
        <v>3</v>
      </c>
      <c r="L58" s="5"/>
      <c r="M58" s="6"/>
      <c r="N58" s="5" t="s">
        <v>27</v>
      </c>
      <c r="O58" s="6">
        <v>0.5</v>
      </c>
      <c r="P58" t="s">
        <v>57</v>
      </c>
      <c r="Q58">
        <v>62</v>
      </c>
      <c r="R58" s="5"/>
      <c r="S58" s="6"/>
      <c r="T58" s="16" t="s">
        <v>77</v>
      </c>
      <c r="U58" s="6">
        <v>90</v>
      </c>
      <c r="V58">
        <f t="shared" si="1"/>
        <v>3600</v>
      </c>
    </row>
    <row r="59" spans="1:22" x14ac:dyDescent="0.2">
      <c r="A59" s="14"/>
      <c r="B59" s="5" t="s">
        <v>41</v>
      </c>
      <c r="C59" s="6">
        <v>2</v>
      </c>
      <c r="D59" s="5" t="s">
        <v>54</v>
      </c>
      <c r="E59" s="6">
        <v>2</v>
      </c>
      <c r="H59" s="5" t="s">
        <v>31</v>
      </c>
      <c r="J59" s="5" t="s">
        <v>61</v>
      </c>
      <c r="K59" s="6">
        <v>3</v>
      </c>
      <c r="L59" s="5"/>
      <c r="M59" s="6"/>
      <c r="N59" s="5" t="s">
        <v>27</v>
      </c>
      <c r="O59" s="6">
        <v>0.5</v>
      </c>
      <c r="P59" t="s">
        <v>58</v>
      </c>
      <c r="Q59">
        <v>55</v>
      </c>
      <c r="R59" s="5"/>
      <c r="S59" s="6"/>
      <c r="T59" s="16" t="s">
        <v>77</v>
      </c>
      <c r="U59" s="6">
        <v>90</v>
      </c>
      <c r="V59">
        <f t="shared" si="1"/>
        <v>3600</v>
      </c>
    </row>
    <row r="60" spans="1:22" x14ac:dyDescent="0.2">
      <c r="A60" s="14"/>
      <c r="B60" s="5" t="s">
        <v>43</v>
      </c>
      <c r="C60" s="6">
        <v>2</v>
      </c>
      <c r="D60" s="5" t="s">
        <v>54</v>
      </c>
      <c r="E60" s="6">
        <v>2</v>
      </c>
      <c r="H60" s="5" t="s">
        <v>31</v>
      </c>
      <c r="J60" s="5" t="s">
        <v>61</v>
      </c>
      <c r="K60" s="6">
        <v>3</v>
      </c>
      <c r="L60" s="5"/>
      <c r="M60" s="6"/>
      <c r="N60" s="5" t="s">
        <v>27</v>
      </c>
      <c r="O60" s="6">
        <v>0.5</v>
      </c>
      <c r="P60" t="s">
        <v>59</v>
      </c>
      <c r="Q60">
        <v>91</v>
      </c>
      <c r="R60" s="5"/>
      <c r="S60" s="6"/>
      <c r="T60" s="16" t="s">
        <v>77</v>
      </c>
      <c r="U60" s="6">
        <v>90</v>
      </c>
      <c r="V60">
        <f t="shared" si="1"/>
        <v>3600</v>
      </c>
    </row>
    <row r="61" spans="1:22" x14ac:dyDescent="0.2">
      <c r="A61" s="14"/>
      <c r="B61" s="5" t="s">
        <v>45</v>
      </c>
      <c r="C61" s="6">
        <v>2</v>
      </c>
      <c r="D61" s="5" t="s">
        <v>54</v>
      </c>
      <c r="E61" s="6">
        <v>2</v>
      </c>
      <c r="H61" s="5" t="s">
        <v>31</v>
      </c>
      <c r="J61" s="5" t="s">
        <v>61</v>
      </c>
      <c r="K61" s="6">
        <v>3</v>
      </c>
      <c r="L61" s="5"/>
      <c r="M61" s="6"/>
      <c r="N61" s="5" t="s">
        <v>27</v>
      </c>
      <c r="O61" s="6">
        <v>0.5</v>
      </c>
      <c r="P61" t="s">
        <v>60</v>
      </c>
      <c r="Q61">
        <v>92</v>
      </c>
      <c r="R61" s="5"/>
      <c r="S61" s="6"/>
      <c r="T61" s="16" t="s">
        <v>77</v>
      </c>
      <c r="U61" s="6">
        <v>90</v>
      </c>
      <c r="V61">
        <f t="shared" si="1"/>
        <v>3600</v>
      </c>
    </row>
    <row r="62" spans="1:22" x14ac:dyDescent="0.2">
      <c r="A62" s="14"/>
      <c r="B62" s="5" t="s">
        <v>62</v>
      </c>
      <c r="C62" s="6">
        <v>2</v>
      </c>
      <c r="D62" s="5" t="s">
        <v>20</v>
      </c>
      <c r="E62" s="6">
        <v>1</v>
      </c>
      <c r="H62" s="5" t="s">
        <v>31</v>
      </c>
      <c r="J62" s="5" t="s">
        <v>61</v>
      </c>
      <c r="K62" s="6">
        <v>5</v>
      </c>
      <c r="L62" s="5"/>
      <c r="M62" s="6"/>
      <c r="N62" s="5" t="s">
        <v>27</v>
      </c>
      <c r="O62" s="6">
        <v>0.25</v>
      </c>
      <c r="P62" t="s">
        <v>63</v>
      </c>
      <c r="Q62">
        <v>43</v>
      </c>
      <c r="R62" s="5" t="s">
        <v>64</v>
      </c>
      <c r="S62" s="6">
        <v>2</v>
      </c>
      <c r="T62" s="16" t="s">
        <v>77</v>
      </c>
      <c r="U62" s="6">
        <v>90</v>
      </c>
      <c r="V62">
        <f>60*40</f>
        <v>2400</v>
      </c>
    </row>
    <row r="63" spans="1:22" x14ac:dyDescent="0.2">
      <c r="A63" s="14"/>
      <c r="B63" s="5" t="s">
        <v>62</v>
      </c>
      <c r="C63" s="6">
        <v>2</v>
      </c>
      <c r="D63" s="5" t="s">
        <v>20</v>
      </c>
      <c r="E63" s="6">
        <v>1</v>
      </c>
      <c r="H63" s="5" t="s">
        <v>31</v>
      </c>
      <c r="J63" s="5" t="s">
        <v>61</v>
      </c>
      <c r="K63" s="6">
        <v>5</v>
      </c>
      <c r="L63" s="5"/>
      <c r="M63" s="6"/>
      <c r="N63" s="5" t="s">
        <v>27</v>
      </c>
      <c r="O63" s="6">
        <v>0.25</v>
      </c>
      <c r="P63" t="s">
        <v>63</v>
      </c>
      <c r="Q63">
        <v>78</v>
      </c>
      <c r="R63" s="5" t="s">
        <v>64</v>
      </c>
      <c r="S63" s="6">
        <v>9</v>
      </c>
      <c r="T63" s="16" t="s">
        <v>77</v>
      </c>
      <c r="U63" s="6">
        <v>90</v>
      </c>
      <c r="V63">
        <f>60*60</f>
        <v>3600</v>
      </c>
    </row>
    <row r="64" spans="1:22" x14ac:dyDescent="0.2">
      <c r="A64" s="14"/>
      <c r="B64" s="5" t="s">
        <v>62</v>
      </c>
      <c r="C64" s="6">
        <v>2</v>
      </c>
      <c r="D64" s="5" t="s">
        <v>20</v>
      </c>
      <c r="E64" s="6">
        <v>1</v>
      </c>
      <c r="H64" s="5" t="s">
        <v>31</v>
      </c>
      <c r="J64" s="5" t="s">
        <v>61</v>
      </c>
      <c r="K64" s="6">
        <v>5</v>
      </c>
      <c r="L64" s="7"/>
      <c r="M64" s="8"/>
      <c r="N64" s="5" t="s">
        <v>27</v>
      </c>
      <c r="O64" s="6">
        <v>0.25</v>
      </c>
      <c r="P64" t="s">
        <v>63</v>
      </c>
      <c r="Q64">
        <v>78</v>
      </c>
      <c r="R64" s="5" t="s">
        <v>64</v>
      </c>
      <c r="S64" s="8">
        <v>16</v>
      </c>
      <c r="T64" s="16" t="s">
        <v>77</v>
      </c>
      <c r="U64" s="6">
        <v>90</v>
      </c>
      <c r="V64">
        <f>60*80</f>
        <v>4800</v>
      </c>
    </row>
    <row r="65" spans="1:22" x14ac:dyDescent="0.2">
      <c r="B65" s="5" t="s">
        <v>62</v>
      </c>
      <c r="C65" s="6">
        <v>2</v>
      </c>
      <c r="D65" s="5" t="s">
        <v>20</v>
      </c>
      <c r="E65" s="6">
        <v>1</v>
      </c>
      <c r="H65" s="5" t="s">
        <v>31</v>
      </c>
      <c r="J65" s="5" t="s">
        <v>61</v>
      </c>
      <c r="K65" s="6">
        <v>5</v>
      </c>
      <c r="N65" s="5" t="s">
        <v>27</v>
      </c>
      <c r="O65" s="6">
        <v>0.25</v>
      </c>
      <c r="P65" t="s">
        <v>63</v>
      </c>
      <c r="Q65">
        <v>82</v>
      </c>
      <c r="R65" s="5" t="s">
        <v>64</v>
      </c>
      <c r="S65" s="6">
        <v>13</v>
      </c>
      <c r="T65" s="16" t="s">
        <v>77</v>
      </c>
      <c r="U65" s="6">
        <v>90</v>
      </c>
      <c r="V65">
        <f>60*120</f>
        <v>7200</v>
      </c>
    </row>
    <row r="66" spans="1:22" x14ac:dyDescent="0.2">
      <c r="A66" s="14"/>
      <c r="B66" s="5" t="s">
        <v>62</v>
      </c>
      <c r="C66" s="6">
        <v>2</v>
      </c>
      <c r="D66" s="5" t="s">
        <v>20</v>
      </c>
      <c r="E66" s="6">
        <v>1</v>
      </c>
      <c r="H66" s="5" t="s">
        <v>31</v>
      </c>
      <c r="J66" s="5" t="s">
        <v>61</v>
      </c>
      <c r="K66" s="6">
        <v>5</v>
      </c>
      <c r="L66" s="5"/>
      <c r="M66" s="6"/>
      <c r="N66" s="5" t="s">
        <v>27</v>
      </c>
      <c r="O66" s="6">
        <v>0.5</v>
      </c>
      <c r="P66" t="s">
        <v>63</v>
      </c>
      <c r="Q66">
        <v>93</v>
      </c>
      <c r="R66" s="5" t="s">
        <v>64</v>
      </c>
      <c r="S66" s="6">
        <v>7</v>
      </c>
      <c r="T66" s="16" t="s">
        <v>77</v>
      </c>
      <c r="U66" s="6">
        <v>90</v>
      </c>
      <c r="V66">
        <f>60*40</f>
        <v>2400</v>
      </c>
    </row>
    <row r="67" spans="1:22" x14ac:dyDescent="0.2">
      <c r="A67" s="14"/>
      <c r="B67" s="5" t="s">
        <v>62</v>
      </c>
      <c r="C67" s="6">
        <v>2</v>
      </c>
      <c r="D67" s="5" t="s">
        <v>20</v>
      </c>
      <c r="E67" s="6">
        <v>1</v>
      </c>
      <c r="H67" s="5" t="s">
        <v>31</v>
      </c>
      <c r="J67" s="5" t="s">
        <v>61</v>
      </c>
      <c r="K67" s="6">
        <v>5</v>
      </c>
      <c r="L67" s="5"/>
      <c r="M67" s="6"/>
      <c r="N67" s="5" t="s">
        <v>27</v>
      </c>
      <c r="O67" s="6">
        <v>0.5</v>
      </c>
      <c r="P67" t="s">
        <v>63</v>
      </c>
      <c r="Q67">
        <v>87</v>
      </c>
      <c r="R67" s="5" t="s">
        <v>64</v>
      </c>
      <c r="S67" s="6">
        <v>10</v>
      </c>
      <c r="T67" s="16" t="s">
        <v>77</v>
      </c>
      <c r="U67" s="6">
        <v>90</v>
      </c>
      <c r="V67">
        <f>60*60</f>
        <v>3600</v>
      </c>
    </row>
    <row r="68" spans="1:22" x14ac:dyDescent="0.2">
      <c r="A68" s="14"/>
      <c r="B68" s="5" t="s">
        <v>62</v>
      </c>
      <c r="C68" s="6">
        <v>2</v>
      </c>
      <c r="D68" s="5" t="s">
        <v>20</v>
      </c>
      <c r="E68" s="6">
        <v>1</v>
      </c>
      <c r="H68" s="5" t="s">
        <v>31</v>
      </c>
      <c r="J68" s="5" t="s">
        <v>61</v>
      </c>
      <c r="K68" s="6">
        <v>5</v>
      </c>
      <c r="L68" s="7"/>
      <c r="M68" s="8"/>
      <c r="N68" s="5" t="s">
        <v>27</v>
      </c>
      <c r="O68" s="6">
        <v>0.5</v>
      </c>
      <c r="P68" t="s">
        <v>63</v>
      </c>
      <c r="Q68">
        <v>84</v>
      </c>
      <c r="R68" s="5" t="s">
        <v>64</v>
      </c>
      <c r="S68" s="8">
        <v>13</v>
      </c>
      <c r="T68" s="16" t="s">
        <v>77</v>
      </c>
      <c r="U68" s="6">
        <v>90</v>
      </c>
      <c r="V68">
        <f>60*80</f>
        <v>4800</v>
      </c>
    </row>
    <row r="69" spans="1:22" x14ac:dyDescent="0.2">
      <c r="B69" s="5" t="s">
        <v>62</v>
      </c>
      <c r="C69" s="6">
        <v>2</v>
      </c>
      <c r="D69" s="5" t="s">
        <v>20</v>
      </c>
      <c r="E69" s="6">
        <v>1</v>
      </c>
      <c r="H69" s="5" t="s">
        <v>31</v>
      </c>
      <c r="J69" s="5" t="s">
        <v>61</v>
      </c>
      <c r="K69" s="6">
        <v>5</v>
      </c>
      <c r="N69" s="5" t="s">
        <v>27</v>
      </c>
      <c r="O69" s="6">
        <v>0.5</v>
      </c>
      <c r="P69" t="s">
        <v>63</v>
      </c>
      <c r="Q69">
        <v>79</v>
      </c>
      <c r="R69" s="5" t="s">
        <v>64</v>
      </c>
      <c r="S69" s="6">
        <v>21</v>
      </c>
      <c r="T69" s="16" t="s">
        <v>77</v>
      </c>
      <c r="U69" s="6">
        <v>90</v>
      </c>
      <c r="V69">
        <f>60*120</f>
        <v>7200</v>
      </c>
    </row>
    <row r="70" spans="1:22" x14ac:dyDescent="0.2">
      <c r="A70" s="14"/>
      <c r="B70" s="5" t="s">
        <v>62</v>
      </c>
      <c r="C70" s="6">
        <v>2</v>
      </c>
      <c r="D70" s="5" t="s">
        <v>20</v>
      </c>
      <c r="E70" s="6">
        <v>1</v>
      </c>
      <c r="H70" s="5" t="s">
        <v>31</v>
      </c>
      <c r="J70" s="5" t="s">
        <v>61</v>
      </c>
      <c r="K70" s="6">
        <v>5</v>
      </c>
      <c r="L70" s="5"/>
      <c r="M70" s="6"/>
      <c r="N70" s="5" t="s">
        <v>27</v>
      </c>
      <c r="O70" s="6">
        <v>0.75</v>
      </c>
      <c r="P70" t="s">
        <v>63</v>
      </c>
      <c r="Q70">
        <v>88</v>
      </c>
      <c r="R70" s="5" t="s">
        <v>64</v>
      </c>
      <c r="S70" s="6">
        <v>12</v>
      </c>
      <c r="T70" s="16" t="s">
        <v>77</v>
      </c>
      <c r="U70" s="6">
        <v>90</v>
      </c>
      <c r="V70">
        <f>60*40</f>
        <v>2400</v>
      </c>
    </row>
    <row r="71" spans="1:22" x14ac:dyDescent="0.2">
      <c r="A71" s="14"/>
      <c r="B71" s="5" t="s">
        <v>62</v>
      </c>
      <c r="C71" s="6">
        <v>2</v>
      </c>
      <c r="D71" s="5" t="s">
        <v>20</v>
      </c>
      <c r="E71" s="6">
        <v>1</v>
      </c>
      <c r="H71" s="5" t="s">
        <v>31</v>
      </c>
      <c r="J71" s="5" t="s">
        <v>61</v>
      </c>
      <c r="K71" s="6">
        <v>5</v>
      </c>
      <c r="L71" s="5"/>
      <c r="M71" s="6"/>
      <c r="N71" s="5" t="s">
        <v>27</v>
      </c>
      <c r="O71" s="6">
        <v>0.75</v>
      </c>
      <c r="P71" t="s">
        <v>63</v>
      </c>
      <c r="Q71">
        <v>84</v>
      </c>
      <c r="R71" s="5" t="s">
        <v>64</v>
      </c>
      <c r="S71" s="6">
        <v>16</v>
      </c>
      <c r="T71" s="16" t="s">
        <v>77</v>
      </c>
      <c r="U71" s="6">
        <v>90</v>
      </c>
      <c r="V71">
        <f>60*60</f>
        <v>3600</v>
      </c>
    </row>
    <row r="72" spans="1:22" x14ac:dyDescent="0.2">
      <c r="A72" s="14"/>
      <c r="B72" s="5" t="s">
        <v>62</v>
      </c>
      <c r="C72" s="6">
        <v>2</v>
      </c>
      <c r="D72" s="5" t="s">
        <v>20</v>
      </c>
      <c r="E72" s="6">
        <v>1</v>
      </c>
      <c r="H72" s="5" t="s">
        <v>31</v>
      </c>
      <c r="J72" s="5" t="s">
        <v>61</v>
      </c>
      <c r="K72" s="6">
        <v>5</v>
      </c>
      <c r="L72" s="7"/>
      <c r="M72" s="8"/>
      <c r="N72" s="5" t="s">
        <v>27</v>
      </c>
      <c r="O72" s="6">
        <v>0.75</v>
      </c>
      <c r="P72" t="s">
        <v>63</v>
      </c>
      <c r="Q72">
        <v>46</v>
      </c>
      <c r="R72" s="5" t="s">
        <v>64</v>
      </c>
      <c r="S72" s="8">
        <v>54</v>
      </c>
      <c r="T72" s="16" t="s">
        <v>77</v>
      </c>
      <c r="U72" s="6">
        <v>90</v>
      </c>
      <c r="V72">
        <f>60*80</f>
        <v>4800</v>
      </c>
    </row>
    <row r="73" spans="1:22" x14ac:dyDescent="0.2">
      <c r="B73" s="5" t="s">
        <v>62</v>
      </c>
      <c r="C73" s="6">
        <v>2</v>
      </c>
      <c r="D73" s="5" t="s">
        <v>20</v>
      </c>
      <c r="E73" s="6">
        <v>1</v>
      </c>
      <c r="H73" s="5" t="s">
        <v>31</v>
      </c>
      <c r="J73" s="5" t="s">
        <v>61</v>
      </c>
      <c r="K73" s="6">
        <v>5</v>
      </c>
      <c r="N73" s="5" t="s">
        <v>27</v>
      </c>
      <c r="O73" s="6">
        <v>0.75</v>
      </c>
      <c r="P73" t="s">
        <v>63</v>
      </c>
      <c r="Q73">
        <v>18</v>
      </c>
      <c r="R73" s="5" t="s">
        <v>64</v>
      </c>
      <c r="S73" s="6">
        <v>82</v>
      </c>
      <c r="T73" s="16" t="s">
        <v>77</v>
      </c>
      <c r="U73" s="6">
        <v>90</v>
      </c>
      <c r="V73">
        <f>60*120</f>
        <v>7200</v>
      </c>
    </row>
    <row r="74" spans="1:22" x14ac:dyDescent="0.2">
      <c r="A74" s="14"/>
      <c r="B74" s="5" t="s">
        <v>62</v>
      </c>
      <c r="C74" s="6">
        <v>2</v>
      </c>
      <c r="D74" s="5" t="s">
        <v>20</v>
      </c>
      <c r="E74" s="6">
        <v>1</v>
      </c>
      <c r="H74" s="5" t="s">
        <v>31</v>
      </c>
      <c r="J74" s="5" t="s">
        <v>61</v>
      </c>
      <c r="K74" s="6">
        <v>5</v>
      </c>
      <c r="L74" s="5"/>
      <c r="M74" s="6"/>
      <c r="N74" s="5" t="s">
        <v>27</v>
      </c>
      <c r="O74" s="6">
        <v>1</v>
      </c>
      <c r="P74" t="s">
        <v>63</v>
      </c>
      <c r="Q74">
        <v>91</v>
      </c>
      <c r="R74" s="5" t="s">
        <v>64</v>
      </c>
      <c r="S74" s="6">
        <v>9</v>
      </c>
      <c r="T74" s="16" t="s">
        <v>77</v>
      </c>
      <c r="U74" s="6">
        <v>90</v>
      </c>
      <c r="V74">
        <f>60*40</f>
        <v>2400</v>
      </c>
    </row>
    <row r="75" spans="1:22" x14ac:dyDescent="0.2">
      <c r="A75" s="14"/>
      <c r="B75" s="5" t="s">
        <v>62</v>
      </c>
      <c r="C75" s="6">
        <v>2</v>
      </c>
      <c r="D75" s="5" t="s">
        <v>20</v>
      </c>
      <c r="E75" s="6">
        <v>1</v>
      </c>
      <c r="H75" s="5" t="s">
        <v>31</v>
      </c>
      <c r="J75" s="5" t="s">
        <v>61</v>
      </c>
      <c r="K75" s="6">
        <v>5</v>
      </c>
      <c r="L75" s="5"/>
      <c r="M75" s="6"/>
      <c r="N75" s="5" t="s">
        <v>27</v>
      </c>
      <c r="O75" s="6">
        <v>1</v>
      </c>
      <c r="P75" t="s">
        <v>63</v>
      </c>
      <c r="Q75">
        <v>79</v>
      </c>
      <c r="R75" s="5" t="s">
        <v>64</v>
      </c>
      <c r="S75" s="6">
        <v>21</v>
      </c>
      <c r="T75" s="16" t="s">
        <v>77</v>
      </c>
      <c r="U75" s="6">
        <v>90</v>
      </c>
      <c r="V75">
        <f>60*60</f>
        <v>3600</v>
      </c>
    </row>
    <row r="76" spans="1:22" x14ac:dyDescent="0.2">
      <c r="A76" s="14"/>
      <c r="B76" s="5" t="s">
        <v>62</v>
      </c>
      <c r="C76" s="6">
        <v>2</v>
      </c>
      <c r="D76" s="5" t="s">
        <v>20</v>
      </c>
      <c r="E76" s="6">
        <v>1</v>
      </c>
      <c r="H76" s="5" t="s">
        <v>31</v>
      </c>
      <c r="J76" s="5" t="s">
        <v>61</v>
      </c>
      <c r="K76" s="6">
        <v>5</v>
      </c>
      <c r="L76" s="7"/>
      <c r="M76" s="8"/>
      <c r="N76" s="5" t="s">
        <v>27</v>
      </c>
      <c r="O76" s="6">
        <v>1</v>
      </c>
      <c r="P76" t="s">
        <v>63</v>
      </c>
      <c r="Q76">
        <v>21</v>
      </c>
      <c r="R76" s="5" t="s">
        <v>64</v>
      </c>
      <c r="S76" s="8">
        <v>79</v>
      </c>
      <c r="T76" s="16" t="s">
        <v>77</v>
      </c>
      <c r="U76" s="6">
        <v>90</v>
      </c>
      <c r="V76">
        <f>60*80</f>
        <v>4800</v>
      </c>
    </row>
    <row r="77" spans="1:22" x14ac:dyDescent="0.2">
      <c r="B77" s="5" t="s">
        <v>62</v>
      </c>
      <c r="C77" s="6">
        <v>2</v>
      </c>
      <c r="D77" s="5" t="s">
        <v>20</v>
      </c>
      <c r="E77" s="6">
        <v>1</v>
      </c>
      <c r="H77" s="5" t="s">
        <v>31</v>
      </c>
      <c r="J77" s="5" t="s">
        <v>61</v>
      </c>
      <c r="K77" s="6">
        <v>5</v>
      </c>
      <c r="N77" s="5" t="s">
        <v>27</v>
      </c>
      <c r="O77" s="6">
        <v>1</v>
      </c>
      <c r="P77" t="s">
        <v>63</v>
      </c>
      <c r="Q77">
        <v>0</v>
      </c>
      <c r="R77" s="5" t="s">
        <v>64</v>
      </c>
      <c r="S77" s="6">
        <v>95</v>
      </c>
      <c r="T77" s="16" t="s">
        <v>77</v>
      </c>
      <c r="U77" s="6">
        <v>90</v>
      </c>
      <c r="V77">
        <f>60*120</f>
        <v>7200</v>
      </c>
    </row>
    <row r="78" spans="1:22" x14ac:dyDescent="0.2">
      <c r="B78" s="5" t="s">
        <v>62</v>
      </c>
      <c r="C78" s="6">
        <v>2</v>
      </c>
      <c r="D78" s="5" t="s">
        <v>20</v>
      </c>
      <c r="E78" s="6">
        <v>2</v>
      </c>
      <c r="H78" s="5" t="s">
        <v>31</v>
      </c>
      <c r="J78" s="5" t="s">
        <v>61</v>
      </c>
      <c r="K78" s="6">
        <v>3</v>
      </c>
      <c r="N78" s="5" t="s">
        <v>27</v>
      </c>
      <c r="O78" s="6">
        <v>0</v>
      </c>
      <c r="P78" t="s">
        <v>63</v>
      </c>
      <c r="Q78">
        <v>0</v>
      </c>
      <c r="R78" s="5" t="s">
        <v>64</v>
      </c>
      <c r="S78" s="6">
        <v>0</v>
      </c>
      <c r="T78" s="16" t="s">
        <v>77</v>
      </c>
      <c r="U78" s="6">
        <v>90</v>
      </c>
      <c r="V78">
        <f t="shared" ref="V78:V89" si="2">60*60</f>
        <v>3600</v>
      </c>
    </row>
    <row r="79" spans="1:22" x14ac:dyDescent="0.2">
      <c r="B79" s="5" t="s">
        <v>62</v>
      </c>
      <c r="C79" s="6">
        <v>2</v>
      </c>
      <c r="D79" s="5" t="s">
        <v>20</v>
      </c>
      <c r="E79" s="6">
        <v>2</v>
      </c>
      <c r="H79" s="5" t="s">
        <v>31</v>
      </c>
      <c r="J79" s="5" t="s">
        <v>61</v>
      </c>
      <c r="K79" s="6">
        <v>3</v>
      </c>
      <c r="N79" s="5" t="s">
        <v>27</v>
      </c>
      <c r="O79" s="6">
        <v>0.25</v>
      </c>
      <c r="P79" t="s">
        <v>63</v>
      </c>
      <c r="Q79">
        <v>70</v>
      </c>
      <c r="R79" s="5" t="s">
        <v>64</v>
      </c>
      <c r="S79" s="6">
        <v>11</v>
      </c>
      <c r="T79" s="16" t="s">
        <v>77</v>
      </c>
      <c r="U79" s="6">
        <v>90</v>
      </c>
      <c r="V79">
        <f t="shared" si="2"/>
        <v>3600</v>
      </c>
    </row>
    <row r="80" spans="1:22" x14ac:dyDescent="0.2">
      <c r="B80" s="5" t="s">
        <v>62</v>
      </c>
      <c r="C80" s="6">
        <v>2</v>
      </c>
      <c r="D80" s="5" t="s">
        <v>20</v>
      </c>
      <c r="E80" s="6">
        <v>2</v>
      </c>
      <c r="H80" s="5" t="s">
        <v>31</v>
      </c>
      <c r="J80" s="5" t="s">
        <v>61</v>
      </c>
      <c r="K80" s="6">
        <v>3</v>
      </c>
      <c r="N80" s="5" t="s">
        <v>27</v>
      </c>
      <c r="O80" s="6">
        <v>0.5</v>
      </c>
      <c r="P80" t="s">
        <v>63</v>
      </c>
      <c r="Q80">
        <v>69</v>
      </c>
      <c r="R80" s="5" t="s">
        <v>64</v>
      </c>
      <c r="S80" s="6">
        <v>13</v>
      </c>
      <c r="T80" s="16" t="s">
        <v>77</v>
      </c>
      <c r="U80" s="6">
        <v>90</v>
      </c>
      <c r="V80">
        <f t="shared" si="2"/>
        <v>3600</v>
      </c>
    </row>
    <row r="81" spans="2:22" x14ac:dyDescent="0.2">
      <c r="B81" s="5" t="s">
        <v>62</v>
      </c>
      <c r="C81" s="6">
        <v>2</v>
      </c>
      <c r="D81" s="5" t="s">
        <v>20</v>
      </c>
      <c r="E81" s="6">
        <v>2</v>
      </c>
      <c r="H81" s="5" t="s">
        <v>31</v>
      </c>
      <c r="J81" s="5" t="s">
        <v>61</v>
      </c>
      <c r="K81" s="6">
        <v>3</v>
      </c>
      <c r="N81" s="5" t="s">
        <v>27</v>
      </c>
      <c r="O81" s="6">
        <v>0.75</v>
      </c>
      <c r="P81" t="s">
        <v>63</v>
      </c>
      <c r="Q81">
        <v>78</v>
      </c>
      <c r="R81" s="5" t="s">
        <v>64</v>
      </c>
      <c r="S81" s="6">
        <v>18</v>
      </c>
      <c r="T81" s="16" t="s">
        <v>77</v>
      </c>
      <c r="U81" s="6">
        <v>90</v>
      </c>
      <c r="V81">
        <f t="shared" si="2"/>
        <v>3600</v>
      </c>
    </row>
    <row r="82" spans="2:22" x14ac:dyDescent="0.2">
      <c r="B82" s="5" t="s">
        <v>62</v>
      </c>
      <c r="C82" s="6">
        <v>2</v>
      </c>
      <c r="D82" s="5" t="s">
        <v>20</v>
      </c>
      <c r="E82" s="6">
        <v>2</v>
      </c>
      <c r="H82" s="5" t="s">
        <v>31</v>
      </c>
      <c r="J82" s="5" t="s">
        <v>61</v>
      </c>
      <c r="K82" s="6">
        <v>3</v>
      </c>
      <c r="N82" s="5" t="s">
        <v>27</v>
      </c>
      <c r="O82" s="6">
        <v>1</v>
      </c>
      <c r="P82" t="s">
        <v>63</v>
      </c>
      <c r="Q82">
        <v>74</v>
      </c>
      <c r="R82" s="5" t="s">
        <v>64</v>
      </c>
      <c r="S82" s="6">
        <v>12</v>
      </c>
      <c r="T82" s="16" t="s">
        <v>77</v>
      </c>
      <c r="U82" s="6">
        <v>90</v>
      </c>
      <c r="V82">
        <f t="shared" si="2"/>
        <v>3600</v>
      </c>
    </row>
    <row r="83" spans="2:22" x14ac:dyDescent="0.2">
      <c r="B83" s="5" t="s">
        <v>43</v>
      </c>
      <c r="C83" s="6">
        <v>2</v>
      </c>
      <c r="D83" s="5" t="s">
        <v>20</v>
      </c>
      <c r="E83" s="6">
        <v>1</v>
      </c>
      <c r="H83" s="5" t="s">
        <v>31</v>
      </c>
      <c r="J83" s="5" t="s">
        <v>61</v>
      </c>
      <c r="K83" s="6">
        <v>5</v>
      </c>
      <c r="N83" s="5" t="s">
        <v>27</v>
      </c>
      <c r="O83" s="6">
        <v>0</v>
      </c>
      <c r="P83" t="s">
        <v>72</v>
      </c>
      <c r="Q83">
        <v>0</v>
      </c>
      <c r="R83" s="5" t="s">
        <v>71</v>
      </c>
      <c r="S83" s="6">
        <v>0</v>
      </c>
      <c r="T83" s="16" t="s">
        <v>77</v>
      </c>
      <c r="U83" s="6">
        <v>90</v>
      </c>
      <c r="V83">
        <f t="shared" si="2"/>
        <v>3600</v>
      </c>
    </row>
    <row r="84" spans="2:22" x14ac:dyDescent="0.2">
      <c r="B84" s="5" t="s">
        <v>43</v>
      </c>
      <c r="C84" s="6">
        <v>2</v>
      </c>
      <c r="D84" s="5" t="s">
        <v>20</v>
      </c>
      <c r="E84" s="6">
        <v>1</v>
      </c>
      <c r="H84" s="5" t="s">
        <v>31</v>
      </c>
      <c r="J84" s="5" t="s">
        <v>61</v>
      </c>
      <c r="K84" s="6">
        <v>5</v>
      </c>
      <c r="N84" s="5" t="s">
        <v>27</v>
      </c>
      <c r="O84" s="6">
        <v>0.25</v>
      </c>
      <c r="P84" t="s">
        <v>72</v>
      </c>
      <c r="Q84">
        <v>64</v>
      </c>
      <c r="R84" s="5" t="s">
        <v>71</v>
      </c>
      <c r="S84" s="6">
        <v>33</v>
      </c>
      <c r="T84" s="16" t="s">
        <v>77</v>
      </c>
      <c r="U84" s="6">
        <v>90</v>
      </c>
      <c r="V84">
        <f t="shared" si="2"/>
        <v>3600</v>
      </c>
    </row>
    <row r="85" spans="2:22" x14ac:dyDescent="0.2">
      <c r="B85" s="5" t="s">
        <v>65</v>
      </c>
      <c r="C85" s="6">
        <v>2</v>
      </c>
      <c r="D85" s="5" t="s">
        <v>66</v>
      </c>
      <c r="E85" s="6">
        <v>1</v>
      </c>
      <c r="H85" s="5" t="s">
        <v>31</v>
      </c>
      <c r="J85" s="5" t="s">
        <v>61</v>
      </c>
      <c r="K85" s="6">
        <v>5</v>
      </c>
      <c r="N85" s="5" t="s">
        <v>27</v>
      </c>
      <c r="O85" s="6">
        <v>0.5</v>
      </c>
      <c r="P85" t="s">
        <v>72</v>
      </c>
      <c r="Q85">
        <v>11</v>
      </c>
      <c r="R85" t="s">
        <v>71</v>
      </c>
      <c r="S85" s="6">
        <v>89</v>
      </c>
      <c r="T85" s="16" t="s">
        <v>77</v>
      </c>
      <c r="U85" s="6">
        <v>90</v>
      </c>
      <c r="V85">
        <f t="shared" si="2"/>
        <v>3600</v>
      </c>
    </row>
    <row r="86" spans="2:22" x14ac:dyDescent="0.2">
      <c r="B86" s="5" t="s">
        <v>67</v>
      </c>
      <c r="C86" s="6">
        <v>2</v>
      </c>
      <c r="D86" s="5" t="s">
        <v>68</v>
      </c>
      <c r="E86" s="6">
        <v>1</v>
      </c>
      <c r="H86" s="5" t="s">
        <v>31</v>
      </c>
      <c r="J86" s="5" t="s">
        <v>61</v>
      </c>
      <c r="K86" s="6">
        <v>5</v>
      </c>
      <c r="N86" s="5" t="s">
        <v>27</v>
      </c>
      <c r="O86" s="6">
        <v>0.75</v>
      </c>
      <c r="P86" t="s">
        <v>72</v>
      </c>
      <c r="Q86">
        <v>4</v>
      </c>
      <c r="R86" t="s">
        <v>71</v>
      </c>
      <c r="S86" s="6">
        <v>96</v>
      </c>
      <c r="T86" s="16" t="s">
        <v>77</v>
      </c>
      <c r="U86" s="6">
        <v>90</v>
      </c>
      <c r="V86">
        <f t="shared" si="2"/>
        <v>3600</v>
      </c>
    </row>
    <row r="87" spans="2:22" x14ac:dyDescent="0.2">
      <c r="B87" s="5" t="s">
        <v>69</v>
      </c>
      <c r="C87" s="6">
        <v>2</v>
      </c>
      <c r="D87" s="5" t="s">
        <v>70</v>
      </c>
      <c r="E87" s="6">
        <v>1</v>
      </c>
      <c r="H87" s="5" t="s">
        <v>31</v>
      </c>
      <c r="J87" s="5" t="s">
        <v>61</v>
      </c>
      <c r="K87" s="6">
        <v>5</v>
      </c>
      <c r="N87" s="5" t="s">
        <v>27</v>
      </c>
      <c r="O87" s="6">
        <v>1</v>
      </c>
      <c r="P87" t="s">
        <v>72</v>
      </c>
      <c r="Q87">
        <v>0</v>
      </c>
      <c r="R87" t="s">
        <v>71</v>
      </c>
      <c r="S87" s="6">
        <v>95</v>
      </c>
      <c r="T87" s="16" t="s">
        <v>77</v>
      </c>
      <c r="U87" s="6">
        <v>90</v>
      </c>
      <c r="V87">
        <f t="shared" si="2"/>
        <v>3600</v>
      </c>
    </row>
    <row r="88" spans="2:22" x14ac:dyDescent="0.2">
      <c r="B88" t="s">
        <v>62</v>
      </c>
      <c r="C88" s="6">
        <v>1</v>
      </c>
      <c r="D88" t="s">
        <v>43</v>
      </c>
      <c r="E88" s="6">
        <v>1</v>
      </c>
      <c r="F88" t="s">
        <v>20</v>
      </c>
      <c r="G88">
        <v>1</v>
      </c>
      <c r="H88" s="5" t="s">
        <v>31</v>
      </c>
      <c r="J88" s="5" t="s">
        <v>61</v>
      </c>
      <c r="K88" s="6">
        <v>3</v>
      </c>
      <c r="N88" s="5" t="s">
        <v>27</v>
      </c>
      <c r="O88" s="6">
        <v>0.5</v>
      </c>
      <c r="P88" t="s">
        <v>73</v>
      </c>
      <c r="Q88">
        <v>95</v>
      </c>
      <c r="T88" s="16" t="s">
        <v>77</v>
      </c>
      <c r="U88" s="6">
        <v>90</v>
      </c>
      <c r="V88">
        <f t="shared" si="2"/>
        <v>3600</v>
      </c>
    </row>
    <row r="89" spans="2:22" x14ac:dyDescent="0.2">
      <c r="B89" t="s">
        <v>75</v>
      </c>
      <c r="C89" s="6">
        <v>4</v>
      </c>
      <c r="D89" t="s">
        <v>74</v>
      </c>
      <c r="E89" s="6">
        <v>4</v>
      </c>
      <c r="H89" s="5" t="s">
        <v>31</v>
      </c>
      <c r="J89" s="5" t="s">
        <v>61</v>
      </c>
      <c r="K89" s="6">
        <v>5</v>
      </c>
      <c r="N89" s="5" t="s">
        <v>27</v>
      </c>
      <c r="O89" s="6">
        <v>0.5</v>
      </c>
      <c r="P89" t="s">
        <v>76</v>
      </c>
      <c r="Q89">
        <v>88</v>
      </c>
      <c r="T89" s="16" t="s">
        <v>77</v>
      </c>
      <c r="U89" s="6">
        <v>90</v>
      </c>
      <c r="V89">
        <f t="shared" si="2"/>
        <v>3600</v>
      </c>
    </row>
    <row r="1048575" spans="5:6" x14ac:dyDescent="0.2">
      <c r="E1048575" s="6"/>
      <c r="F1048575" s="5"/>
    </row>
  </sheetData>
  <phoneticPr fontId="4" type="noConversion"/>
  <hyperlinks>
    <hyperlink ref="E5" r:id="rId1" tooltip="Link to landing page via DOI" display="https://doi.org/10.1039/D3SC01591B" xr:uid="{A7E5635B-3C53-CF49-9884-E57E1A354FE3}"/>
    <hyperlink ref="H5" r:id="rId2" xr:uid="{3D81B13F-4D85-FA42-BE76-746ABF576D3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2024-09-04T02:25:14Z</dcterms:created>
  <dcterms:modified xsi:type="dcterms:W3CDTF">2025-05-13T19:54:08Z</dcterms:modified>
</cp:coreProperties>
</file>