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tests/"/>
    </mc:Choice>
  </mc:AlternateContent>
  <xr:revisionPtr revIDLastSave="0" documentId="13_ncr:1_{DC82D12B-5C1F-8C42-BD71-D424B0D60D77}" xr6:coauthVersionLast="47" xr6:coauthVersionMax="47" xr10:uidLastSave="{00000000-0000-0000-0000-000000000000}"/>
  <bookViews>
    <workbookView xWindow="60" yWindow="500" windowWidth="34520" windowHeight="21720" xr2:uid="{67C290E4-36C7-6141-BA54-B171370FD48C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1" l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</calcChain>
</file>

<file path=xl/sharedStrings.xml><?xml version="1.0" encoding="utf-8"?>
<sst xmlns="http://schemas.openxmlformats.org/spreadsheetml/2006/main" count="214" uniqueCount="54">
  <si>
    <t>REACTION</t>
  </si>
  <si>
    <t>MECHANOCHEMISTRY</t>
  </si>
  <si>
    <t>EXPERIMENTER</t>
  </si>
  <si>
    <t>Reaction Type</t>
  </si>
  <si>
    <t>Type</t>
  </si>
  <si>
    <t>Organization</t>
  </si>
  <si>
    <t>VARIANTS</t>
  </si>
  <si>
    <t>REACTANT</t>
  </si>
  <si>
    <t>PRODUCT</t>
  </si>
  <si>
    <t>SMILES</t>
  </si>
  <si>
    <t>DATA</t>
  </si>
  <si>
    <t>Publication URL</t>
  </si>
  <si>
    <t>Duration (s)</t>
  </si>
  <si>
    <t>Amount (millimole)</t>
  </si>
  <si>
    <t>DOI</t>
  </si>
  <si>
    <t>City</t>
  </si>
  <si>
    <t>Condensation</t>
  </si>
  <si>
    <t>Belfast</t>
  </si>
  <si>
    <t>10.1039/c6gc03413f</t>
  </si>
  <si>
    <t>https://pubs.rsc.org/en/content/articlelanding/2017/gc/c6gc03413f</t>
  </si>
  <si>
    <t>Frequency (Hz)</t>
  </si>
  <si>
    <t>OC1=CC=C(C=O)C=C1OC</t>
  </si>
  <si>
    <t>O=C(NC1=O)NC(C1)=O</t>
  </si>
  <si>
    <t>SOLVENT</t>
  </si>
  <si>
    <t>O</t>
  </si>
  <si>
    <t>COc1c(O)ccc(/C=C2C(NC(NC\2=O)=O)=O)c1</t>
  </si>
  <si>
    <t>Ball Mill</t>
  </si>
  <si>
    <t>Stainless Steel</t>
  </si>
  <si>
    <t>COC1=CC(C=O)=CC=C1OC</t>
  </si>
  <si>
    <t>COc1c(OC)cc(/C=C2C(NC(NC\2=O)=O)=O)cc1</t>
  </si>
  <si>
    <t>OC1=C(Br)C=C(C=O)C=C1OC</t>
  </si>
  <si>
    <t>COc1c(O)c(Br)cc(/C=C2C(NC(NC\2=O)=O)=O)c1</t>
  </si>
  <si>
    <t>N#CCC#N</t>
  </si>
  <si>
    <t>[O-]C([O-])=O.[Na+]</t>
  </si>
  <si>
    <t>COc1c(O)ccc(/C=C(C#N)/C#N)c1</t>
  </si>
  <si>
    <t>CCOC(CC#N)=O</t>
  </si>
  <si>
    <t>CCOC(/C(C#N)=C/c1cc(OC)c(O)cc1)=O</t>
  </si>
  <si>
    <t>OC1=C(OC)C=CC=C1C=O</t>
  </si>
  <si>
    <t>NC1=CC=C(C=C1)OC2=CC=C(N)C=C2</t>
  </si>
  <si>
    <t>OC</t>
  </si>
  <si>
    <t>COc1c(O)c(/C=N/c2ccc(Oc3ccc(/N=C/c4c(O)c(OC)ccc4)cc3)cc2)ccc1</t>
  </si>
  <si>
    <t>COc1c(OC)cc(C(C2=C(CC(C)(CC2=O)C)O)C3=C(CC(C)(CC3=O)C)O)cc1</t>
  </si>
  <si>
    <t>[H]C(c1cc(OC)c(OC)cc1)=O</t>
  </si>
  <si>
    <t>CC1(CC(CC(C1)=O)=O)C</t>
  </si>
  <si>
    <t>CC1(CC(C(C(C1)=O)C2(C(c3c(C2=O)cccc3)=O)O)=O)C</t>
  </si>
  <si>
    <t>O=C1c2c(C(C1(O)O)=O)cccc2</t>
  </si>
  <si>
    <t>Yield (%)</t>
  </si>
  <si>
    <t>Frequency (RPM)</t>
  </si>
  <si>
    <t>Temperature</t>
  </si>
  <si>
    <t>Thermocouple internal</t>
  </si>
  <si>
    <t>Ball Material</t>
  </si>
  <si>
    <t>Temperature (Celsius)</t>
  </si>
  <si>
    <t>Twin Screw</t>
  </si>
  <si>
    <t>School of Chemistry and Chemical Engineering, Queen's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</si>
</sst>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color rgb="FF000000"/>
      <name val="Helvetica"/>
      <family val="2"/>
    </font>
    <font>
      <sz val="12"/>
      <color rgb="FF000000"/>
      <name val="Times New Roman"/>
      <family val="1"/>
    </font>
    <font>
      <sz val="8"/>
      <name val="Aptos Narrow"/>
      <family val="2"/>
      <scheme val="minor"/>
    </font>
    <font>
      <sz val="12"/>
      <color rgb="FF141413"/>
      <name val="Helvetica"/>
      <family val="2"/>
    </font>
    <font>
      <sz val="12"/>
      <color rgb="FF000000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1" fillId="0" borderId="0" xfId="0" applyFont="1"/>
    <xf numFmtId="0" fontId="1" fillId="0" borderId="6" xfId="0" applyFont="1" applyBorder="1"/>
    <xf numFmtId="0" fontId="0" fillId="0" borderId="0" xfId="0" applyFill="1" applyBorder="1"/>
    <xf numFmtId="0" fontId="3" fillId="0" borderId="0" xfId="0" applyFont="1" applyFill="1" applyBorder="1"/>
    <xf numFmtId="0" fontId="2" fillId="0" borderId="0" xfId="0" applyFont="1" applyFill="1" applyBorder="1"/>
    <xf numFmtId="0" fontId="1" fillId="0" borderId="0" xfId="0" applyFont="1" applyFill="1" applyBorder="1"/>
    <xf numFmtId="0" fontId="0" fillId="2" borderId="11" xfId="0" applyFont="1" applyFill="1" applyBorder="1"/>
    <xf numFmtId="0" fontId="0" fillId="3" borderId="0" xfId="0" applyFont="1" applyFill="1"/>
    <xf numFmtId="0" fontId="0" fillId="0" borderId="9" xfId="0" applyFont="1" applyBorder="1"/>
    <xf numFmtId="0" fontId="0" fillId="0" borderId="0" xfId="0" applyFont="1"/>
    <xf numFmtId="0" fontId="0" fillId="0" borderId="10" xfId="0" applyFont="1" applyBorder="1"/>
    <xf numFmtId="0" fontId="5" fillId="0" borderId="0" xfId="0" applyFont="1"/>
    <xf numFmtId="0" fontId="0" fillId="2" borderId="2" xfId="0" applyFont="1" applyFill="1" applyBorder="1"/>
    <xf numFmtId="0" fontId="6" fillId="2" borderId="0" xfId="0" applyFont="1" applyFill="1"/>
    <xf numFmtId="0" fontId="0" fillId="0" borderId="3" xfId="0" applyFont="1" applyBorder="1"/>
    <xf numFmtId="0" fontId="0" fillId="0" borderId="4" xfId="0" applyFont="1" applyBorder="1"/>
    <xf numFmtId="0" fontId="0" fillId="0" borderId="1" xfId="0" applyFont="1" applyBorder="1"/>
    <xf numFmtId="0" fontId="0" fillId="0" borderId="5" xfId="0" applyFont="1" applyBorder="1"/>
    <xf numFmtId="0" fontId="0" fillId="0" borderId="6" xfId="0" applyFont="1" applyBorder="1"/>
    <xf numFmtId="0" fontId="0" fillId="2" borderId="7" xfId="0" applyFont="1" applyFill="1" applyBorder="1"/>
    <xf numFmtId="0" fontId="0" fillId="2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P65"/>
  <sheetViews>
    <sheetView tabSelected="1" workbookViewId="0">
      <selection activeCell="E7" sqref="E7"/>
    </sheetView>
  </sheetViews>
  <sheetFormatPr baseColWidth="10" defaultColWidth="11.1640625" defaultRowHeight="16" x14ac:dyDescent="0.2"/>
  <cols>
    <col min="1" max="1" width="11.1640625" style="4"/>
    <col min="2" max="2" width="19.83203125" style="4" bestFit="1" customWidth="1"/>
    <col min="3" max="3" width="19.33203125" style="4" bestFit="1" customWidth="1"/>
    <col min="4" max="4" width="18.1640625" style="4" customWidth="1"/>
    <col min="5" max="5" width="16.6640625" style="4" customWidth="1"/>
    <col min="6" max="7" width="13.5" style="4" bestFit="1" customWidth="1"/>
    <col min="8" max="8" width="11.1640625" style="4"/>
    <col min="9" max="9" width="13.5" style="4" bestFit="1" customWidth="1"/>
    <col min="10" max="10" width="11.1640625" style="4"/>
    <col min="11" max="11" width="13" style="4" bestFit="1" customWidth="1"/>
    <col min="12" max="16384" width="11.1640625" style="4"/>
  </cols>
  <sheetData>
    <row r="2" spans="1:15" x14ac:dyDescent="0.2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/>
    </row>
    <row r="3" spans="1:15" ht="15" customHeight="1" x14ac:dyDescent="0.2">
      <c r="A3" s="9"/>
      <c r="B3" s="10" t="s">
        <v>3</v>
      </c>
      <c r="C3" s="11" t="s">
        <v>2</v>
      </c>
      <c r="D3" s="11" t="s">
        <v>15</v>
      </c>
      <c r="E3" s="11" t="s">
        <v>14</v>
      </c>
      <c r="F3" s="10" t="s">
        <v>11</v>
      </c>
      <c r="G3" s="11"/>
      <c r="H3" s="11"/>
      <c r="I3" s="11"/>
      <c r="J3" s="11"/>
      <c r="K3" s="11"/>
      <c r="L3" s="11"/>
      <c r="M3" s="11"/>
      <c r="N3" s="11"/>
      <c r="O3"/>
    </row>
    <row r="4" spans="1:15" ht="15" customHeight="1" x14ac:dyDescent="0.2">
      <c r="A4" s="9"/>
      <c r="B4" s="11"/>
      <c r="C4" s="11" t="s">
        <v>5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/>
    </row>
    <row r="5" spans="1:15" x14ac:dyDescent="0.2">
      <c r="A5" s="9"/>
      <c r="B5" s="12" t="s">
        <v>16</v>
      </c>
      <c r="C5" s="13" t="s">
        <v>53</v>
      </c>
      <c r="D5" s="13" t="s">
        <v>17</v>
      </c>
      <c r="E5" s="13" t="s">
        <v>18</v>
      </c>
      <c r="F5" s="12" t="s">
        <v>19</v>
      </c>
      <c r="G5" s="11"/>
      <c r="H5" s="11"/>
      <c r="I5" s="11"/>
      <c r="J5" s="11"/>
      <c r="K5" s="11"/>
      <c r="L5" s="11"/>
      <c r="M5" s="11"/>
      <c r="N5" s="11"/>
      <c r="O5"/>
    </row>
    <row r="6" spans="1:15" x14ac:dyDescent="0.2">
      <c r="A6" s="14" t="s">
        <v>6</v>
      </c>
      <c r="B6" s="14"/>
      <c r="C6" s="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/>
    </row>
    <row r="7" spans="1:15" x14ac:dyDescent="0.2">
      <c r="A7" s="9"/>
      <c r="B7" s="16" t="s">
        <v>7</v>
      </c>
      <c r="C7" s="17"/>
      <c r="D7" s="16" t="s">
        <v>7</v>
      </c>
      <c r="E7" s="17"/>
      <c r="F7" s="16" t="s">
        <v>7</v>
      </c>
      <c r="G7" s="17"/>
      <c r="H7" s="16" t="s">
        <v>8</v>
      </c>
      <c r="I7" s="18"/>
      <c r="J7" s="11" t="s">
        <v>48</v>
      </c>
      <c r="K7" s="11"/>
      <c r="L7" s="16" t="s">
        <v>1</v>
      </c>
      <c r="M7" s="18"/>
      <c r="N7" s="18"/>
      <c r="O7"/>
    </row>
    <row r="8" spans="1:15" x14ac:dyDescent="0.2">
      <c r="A8" s="9"/>
      <c r="B8" s="19" t="s">
        <v>9</v>
      </c>
      <c r="C8" s="20" t="s">
        <v>13</v>
      </c>
      <c r="D8" s="19" t="s">
        <v>9</v>
      </c>
      <c r="E8" s="20" t="s">
        <v>13</v>
      </c>
      <c r="F8" s="19" t="s">
        <v>9</v>
      </c>
      <c r="G8" s="20" t="s">
        <v>13</v>
      </c>
      <c r="H8" s="19" t="s">
        <v>9</v>
      </c>
      <c r="I8" s="3" t="s">
        <v>46</v>
      </c>
      <c r="J8" s="11" t="s">
        <v>4</v>
      </c>
      <c r="K8" s="2" t="s">
        <v>51</v>
      </c>
      <c r="L8" s="19" t="s">
        <v>4</v>
      </c>
      <c r="M8" s="11" t="s">
        <v>47</v>
      </c>
      <c r="N8" s="11" t="s">
        <v>12</v>
      </c>
      <c r="O8"/>
    </row>
    <row r="9" spans="1:15" x14ac:dyDescent="0.2">
      <c r="A9" s="14" t="s">
        <v>10</v>
      </c>
      <c r="B9" s="21"/>
      <c r="C9" s="22"/>
      <c r="D9" s="21"/>
      <c r="E9" s="22"/>
      <c r="F9" s="21"/>
      <c r="G9" s="22"/>
      <c r="H9" s="21"/>
      <c r="I9" s="14"/>
      <c r="J9" s="14"/>
      <c r="K9" s="22"/>
      <c r="L9" s="21"/>
      <c r="M9" s="14"/>
      <c r="N9" s="14"/>
      <c r="O9"/>
    </row>
    <row r="10" spans="1:15" x14ac:dyDescent="0.2">
      <c r="A10" s="9"/>
      <c r="B10" s="19" t="s">
        <v>21</v>
      </c>
      <c r="C10" s="11">
        <v>1.9</v>
      </c>
      <c r="D10" s="19" t="s">
        <v>22</v>
      </c>
      <c r="E10" s="11">
        <v>1.9</v>
      </c>
      <c r="F10" s="19"/>
      <c r="G10" s="20"/>
      <c r="H10" s="19" t="s">
        <v>25</v>
      </c>
      <c r="I10" s="11">
        <v>100</v>
      </c>
      <c r="J10" s="11" t="s">
        <v>49</v>
      </c>
      <c r="K10" s="11">
        <v>160</v>
      </c>
      <c r="L10" s="1" t="s">
        <v>52</v>
      </c>
      <c r="M10" s="11">
        <v>55</v>
      </c>
      <c r="N10" s="11">
        <v>120</v>
      </c>
      <c r="O10"/>
    </row>
    <row r="11" spans="1:15" x14ac:dyDescent="0.2">
      <c r="A11" s="9"/>
      <c r="B11" s="19" t="s">
        <v>28</v>
      </c>
      <c r="C11" s="11">
        <v>1.9</v>
      </c>
      <c r="D11" s="19" t="s">
        <v>22</v>
      </c>
      <c r="E11" s="11">
        <v>1.9</v>
      </c>
      <c r="F11" s="19"/>
      <c r="G11" s="20"/>
      <c r="H11" s="19" t="s">
        <v>29</v>
      </c>
      <c r="I11" s="11">
        <v>100</v>
      </c>
      <c r="J11" s="11" t="s">
        <v>49</v>
      </c>
      <c r="K11" s="11">
        <v>160</v>
      </c>
      <c r="L11" s="1" t="s">
        <v>52</v>
      </c>
      <c r="M11" s="11">
        <v>55</v>
      </c>
      <c r="N11" s="11">
        <v>120</v>
      </c>
      <c r="O11"/>
    </row>
    <row r="12" spans="1:15" x14ac:dyDescent="0.2">
      <c r="A12" s="9"/>
      <c r="B12" s="19" t="s">
        <v>30</v>
      </c>
      <c r="C12" s="11">
        <v>1.9</v>
      </c>
      <c r="D12" s="19" t="s">
        <v>22</v>
      </c>
      <c r="E12" s="11">
        <v>1.9</v>
      </c>
      <c r="F12" s="19"/>
      <c r="G12" s="20"/>
      <c r="H12" s="19" t="s">
        <v>31</v>
      </c>
      <c r="I12" s="11">
        <v>100</v>
      </c>
      <c r="J12" s="11" t="s">
        <v>49</v>
      </c>
      <c r="K12" s="11">
        <v>160</v>
      </c>
      <c r="L12" s="1" t="s">
        <v>52</v>
      </c>
      <c r="M12" s="11">
        <v>55</v>
      </c>
      <c r="N12" s="11">
        <v>120</v>
      </c>
      <c r="O12"/>
    </row>
    <row r="13" spans="1:15" x14ac:dyDescent="0.2">
      <c r="A13" s="9"/>
      <c r="B13" s="19" t="s">
        <v>21</v>
      </c>
      <c r="C13" s="20">
        <v>82</v>
      </c>
      <c r="D13" s="19" t="s">
        <v>32</v>
      </c>
      <c r="E13" s="20">
        <v>82</v>
      </c>
      <c r="F13" s="19" t="s">
        <v>33</v>
      </c>
      <c r="G13" s="20">
        <v>8</v>
      </c>
      <c r="H13" s="19" t="s">
        <v>34</v>
      </c>
      <c r="I13" s="11">
        <v>100</v>
      </c>
      <c r="J13" s="11" t="s">
        <v>49</v>
      </c>
      <c r="K13" s="11">
        <v>120</v>
      </c>
      <c r="L13" s="1" t="s">
        <v>52</v>
      </c>
      <c r="M13" s="11">
        <v>55</v>
      </c>
      <c r="N13" s="11">
        <v>120</v>
      </c>
      <c r="O13"/>
    </row>
    <row r="14" spans="1:15" x14ac:dyDescent="0.2">
      <c r="A14" s="9"/>
      <c r="B14" s="19" t="s">
        <v>21</v>
      </c>
      <c r="C14" s="20">
        <v>66</v>
      </c>
      <c r="D14" s="19" t="s">
        <v>35</v>
      </c>
      <c r="E14" s="20">
        <v>66</v>
      </c>
      <c r="F14" s="19" t="s">
        <v>33</v>
      </c>
      <c r="G14" s="20">
        <v>16.420000000000002</v>
      </c>
      <c r="H14" s="19" t="s">
        <v>36</v>
      </c>
      <c r="I14" s="11">
        <v>100</v>
      </c>
      <c r="J14" s="11" t="s">
        <v>49</v>
      </c>
      <c r="K14" s="11">
        <v>160</v>
      </c>
      <c r="L14" s="1" t="s">
        <v>52</v>
      </c>
      <c r="M14" s="11">
        <v>55</v>
      </c>
      <c r="N14" s="11">
        <v>360</v>
      </c>
      <c r="O14"/>
    </row>
    <row r="15" spans="1:15" x14ac:dyDescent="0.2">
      <c r="A15" s="9"/>
      <c r="B15" s="19" t="s">
        <v>37</v>
      </c>
      <c r="C15" s="20">
        <v>82</v>
      </c>
      <c r="D15" s="19" t="s">
        <v>38</v>
      </c>
      <c r="E15" s="20">
        <v>41</v>
      </c>
      <c r="F15" s="19"/>
      <c r="G15" s="20"/>
      <c r="H15" s="19" t="s">
        <v>40</v>
      </c>
      <c r="I15" s="11">
        <v>0</v>
      </c>
      <c r="J15" s="11" t="s">
        <v>49</v>
      </c>
      <c r="K15" s="11">
        <v>80</v>
      </c>
      <c r="L15" s="1" t="s">
        <v>52</v>
      </c>
      <c r="M15" s="11">
        <v>55</v>
      </c>
      <c r="N15" s="11">
        <v>120</v>
      </c>
      <c r="O15"/>
    </row>
    <row r="16" spans="1:15" x14ac:dyDescent="0.2">
      <c r="A16" s="9"/>
      <c r="B16" s="19" t="s">
        <v>37</v>
      </c>
      <c r="C16" s="20">
        <v>82</v>
      </c>
      <c r="D16" s="19" t="s">
        <v>38</v>
      </c>
      <c r="E16" s="20">
        <v>41</v>
      </c>
      <c r="F16" s="19"/>
      <c r="G16" s="20"/>
      <c r="H16" s="19" t="s">
        <v>40</v>
      </c>
      <c r="I16" s="11">
        <v>45</v>
      </c>
      <c r="J16" s="11" t="s">
        <v>49</v>
      </c>
      <c r="K16" s="11">
        <v>80</v>
      </c>
      <c r="L16" s="1" t="s">
        <v>52</v>
      </c>
      <c r="M16" s="11">
        <v>55</v>
      </c>
      <c r="N16" s="11">
        <v>120</v>
      </c>
      <c r="O16"/>
    </row>
    <row r="17" spans="1:15" x14ac:dyDescent="0.2">
      <c r="A17" s="9"/>
      <c r="B17" s="19" t="s">
        <v>37</v>
      </c>
      <c r="C17" s="20">
        <v>82</v>
      </c>
      <c r="D17" s="19" t="s">
        <v>38</v>
      </c>
      <c r="E17" s="20">
        <v>41</v>
      </c>
      <c r="F17" s="19"/>
      <c r="G17" s="20"/>
      <c r="H17" s="19" t="s">
        <v>40</v>
      </c>
      <c r="I17" s="11">
        <v>70</v>
      </c>
      <c r="J17" s="11" t="s">
        <v>49</v>
      </c>
      <c r="K17" s="11">
        <v>80</v>
      </c>
      <c r="L17" s="1" t="s">
        <v>52</v>
      </c>
      <c r="M17" s="11">
        <v>55</v>
      </c>
      <c r="N17" s="11">
        <v>120</v>
      </c>
      <c r="O17"/>
    </row>
    <row r="18" spans="1:15" x14ac:dyDescent="0.2">
      <c r="A18" s="9"/>
      <c r="B18" s="19" t="s">
        <v>37</v>
      </c>
      <c r="C18" s="20">
        <v>82</v>
      </c>
      <c r="D18" s="19" t="s">
        <v>38</v>
      </c>
      <c r="E18" s="20">
        <v>41</v>
      </c>
      <c r="F18" s="19"/>
      <c r="G18" s="20"/>
      <c r="H18" s="19" t="s">
        <v>40</v>
      </c>
      <c r="I18" s="11">
        <v>91</v>
      </c>
      <c r="J18" s="11" t="s">
        <v>49</v>
      </c>
      <c r="K18" s="11">
        <v>100</v>
      </c>
      <c r="L18" s="1" t="s">
        <v>52</v>
      </c>
      <c r="M18" s="11">
        <v>55</v>
      </c>
      <c r="N18" s="11">
        <v>120</v>
      </c>
      <c r="O18"/>
    </row>
    <row r="19" spans="1:15" x14ac:dyDescent="0.2">
      <c r="A19" s="9"/>
      <c r="B19" s="19" t="s">
        <v>37</v>
      </c>
      <c r="C19" s="20">
        <v>82</v>
      </c>
      <c r="D19" s="19" t="s">
        <v>38</v>
      </c>
      <c r="E19" s="20">
        <v>41</v>
      </c>
      <c r="F19" s="19"/>
      <c r="G19" s="20"/>
      <c r="H19" s="19" t="s">
        <v>40</v>
      </c>
      <c r="I19" s="11">
        <v>100</v>
      </c>
      <c r="J19" s="11" t="s">
        <v>49</v>
      </c>
      <c r="K19" s="11">
        <v>120</v>
      </c>
      <c r="L19" s="1" t="s">
        <v>52</v>
      </c>
      <c r="M19" s="11">
        <v>55</v>
      </c>
      <c r="N19" s="11">
        <v>120</v>
      </c>
      <c r="O19"/>
    </row>
    <row r="20" spans="1:15" x14ac:dyDescent="0.2">
      <c r="A20" s="9"/>
      <c r="B20" s="19" t="s">
        <v>42</v>
      </c>
      <c r="C20" s="20">
        <v>60</v>
      </c>
      <c r="D20" s="19" t="s">
        <v>43</v>
      </c>
      <c r="E20" s="20">
        <v>120</v>
      </c>
      <c r="F20" s="19"/>
      <c r="G20" s="20"/>
      <c r="H20" s="19" t="s">
        <v>41</v>
      </c>
      <c r="I20" s="11">
        <v>100</v>
      </c>
      <c r="J20" s="11" t="s">
        <v>49</v>
      </c>
      <c r="K20" s="11">
        <v>120</v>
      </c>
      <c r="L20" s="1" t="s">
        <v>52</v>
      </c>
      <c r="M20" s="11">
        <v>200</v>
      </c>
      <c r="N20" s="11">
        <v>720</v>
      </c>
      <c r="O20"/>
    </row>
    <row r="21" spans="1:15" x14ac:dyDescent="0.2">
      <c r="A21" s="9"/>
      <c r="B21" s="19" t="s">
        <v>45</v>
      </c>
      <c r="C21" s="20">
        <v>57.4</v>
      </c>
      <c r="D21" s="19" t="s">
        <v>43</v>
      </c>
      <c r="E21" s="20">
        <v>57.4</v>
      </c>
      <c r="F21" s="19" t="s">
        <v>33</v>
      </c>
      <c r="G21" s="20">
        <v>8.68</v>
      </c>
      <c r="H21" s="19" t="s">
        <v>44</v>
      </c>
      <c r="I21" s="11">
        <v>100</v>
      </c>
      <c r="J21" s="11" t="s">
        <v>49</v>
      </c>
      <c r="K21" s="11">
        <v>100</v>
      </c>
      <c r="L21" s="1" t="s">
        <v>52</v>
      </c>
      <c r="M21" s="11">
        <v>55</v>
      </c>
      <c r="N21" s="11">
        <v>720</v>
      </c>
      <c r="O21"/>
    </row>
    <row r="24" spans="1:15" x14ac:dyDescent="0.2">
      <c r="A24" s="14" t="s">
        <v>0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x14ac:dyDescent="0.2">
      <c r="A25" s="9"/>
      <c r="B25" s="10" t="s">
        <v>3</v>
      </c>
      <c r="C25" s="11" t="s">
        <v>2</v>
      </c>
      <c r="D25" s="11" t="s">
        <v>15</v>
      </c>
      <c r="E25" s="11" t="s">
        <v>14</v>
      </c>
      <c r="F25" s="10" t="s">
        <v>11</v>
      </c>
      <c r="G25" s="11"/>
      <c r="H25" s="11"/>
      <c r="I25" s="11"/>
      <c r="J25" s="11"/>
      <c r="K25" s="11"/>
      <c r="L25" s="11"/>
      <c r="M25" s="11"/>
      <c r="N25" s="11"/>
      <c r="O25" s="11"/>
    </row>
    <row r="26" spans="1:15" x14ac:dyDescent="0.2">
      <c r="A26" s="9"/>
      <c r="B26" s="11"/>
      <c r="C26" s="11" t="s">
        <v>5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x14ac:dyDescent="0.2">
      <c r="A27" s="9"/>
      <c r="B27" s="12" t="s">
        <v>16</v>
      </c>
      <c r="C27" s="13" t="s">
        <v>53</v>
      </c>
      <c r="D27" s="13" t="s">
        <v>17</v>
      </c>
      <c r="E27" s="13" t="s">
        <v>18</v>
      </c>
      <c r="F27" s="12" t="s">
        <v>19</v>
      </c>
      <c r="G27" s="11"/>
      <c r="H27" s="11"/>
      <c r="I27" s="11"/>
      <c r="J27" s="11"/>
      <c r="K27" s="11"/>
      <c r="L27" s="11"/>
      <c r="M27" s="11"/>
      <c r="N27" s="11"/>
      <c r="O27" s="11"/>
    </row>
    <row r="28" spans="1:15" x14ac:dyDescent="0.2">
      <c r="A28" s="14" t="s">
        <v>6</v>
      </c>
      <c r="B28" s="14"/>
      <c r="C28" s="15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x14ac:dyDescent="0.2">
      <c r="A29" s="9"/>
      <c r="B29" s="16" t="s">
        <v>7</v>
      </c>
      <c r="C29" s="17"/>
      <c r="D29" s="16" t="s">
        <v>7</v>
      </c>
      <c r="E29" s="17"/>
      <c r="F29" s="16" t="s">
        <v>23</v>
      </c>
      <c r="G29" s="17"/>
      <c r="H29" s="16" t="s">
        <v>7</v>
      </c>
      <c r="I29" s="17"/>
      <c r="J29" s="16" t="s">
        <v>8</v>
      </c>
      <c r="K29" s="18"/>
      <c r="L29" s="16" t="s">
        <v>1</v>
      </c>
      <c r="M29" s="18"/>
      <c r="N29" s="18"/>
      <c r="O29" s="18"/>
    </row>
    <row r="30" spans="1:15" x14ac:dyDescent="0.2">
      <c r="A30" s="9"/>
      <c r="B30" s="19" t="s">
        <v>9</v>
      </c>
      <c r="C30" s="20" t="s">
        <v>13</v>
      </c>
      <c r="D30" s="19" t="s">
        <v>9</v>
      </c>
      <c r="E30" s="20" t="s">
        <v>13</v>
      </c>
      <c r="F30" s="19" t="s">
        <v>9</v>
      </c>
      <c r="G30" s="20" t="s">
        <v>13</v>
      </c>
      <c r="H30" s="19" t="s">
        <v>9</v>
      </c>
      <c r="I30" s="20" t="s">
        <v>13</v>
      </c>
      <c r="J30" s="19" t="s">
        <v>9</v>
      </c>
      <c r="K30" s="3" t="s">
        <v>46</v>
      </c>
      <c r="L30" s="19" t="s">
        <v>4</v>
      </c>
      <c r="M30" s="11" t="s">
        <v>20</v>
      </c>
      <c r="N30" s="2" t="s">
        <v>50</v>
      </c>
      <c r="O30" s="11" t="s">
        <v>12</v>
      </c>
    </row>
    <row r="31" spans="1:15" x14ac:dyDescent="0.2">
      <c r="A31" s="14" t="s">
        <v>10</v>
      </c>
      <c r="B31" s="21"/>
      <c r="C31" s="22"/>
      <c r="D31" s="21"/>
      <c r="E31" s="22"/>
      <c r="F31" s="21"/>
      <c r="G31" s="22"/>
      <c r="H31" s="21"/>
      <c r="I31" s="22"/>
      <c r="J31" s="21"/>
      <c r="K31" s="14"/>
      <c r="L31" s="21"/>
      <c r="M31" s="14"/>
      <c r="N31" s="14"/>
      <c r="O31" s="14"/>
    </row>
    <row r="32" spans="1:15" x14ac:dyDescent="0.2">
      <c r="A32" s="9"/>
      <c r="B32" s="19" t="s">
        <v>21</v>
      </c>
      <c r="C32" s="20">
        <v>1.9</v>
      </c>
      <c r="D32" s="19" t="s">
        <v>22</v>
      </c>
      <c r="E32" s="20">
        <v>1.9</v>
      </c>
      <c r="F32" s="19" t="s">
        <v>24</v>
      </c>
      <c r="G32" s="11">
        <v>0.69399999999999995</v>
      </c>
      <c r="H32" s="19"/>
      <c r="I32" s="20"/>
      <c r="J32" s="19" t="s">
        <v>25</v>
      </c>
      <c r="K32" s="11">
        <v>66.59</v>
      </c>
      <c r="L32" s="1" t="s">
        <v>26</v>
      </c>
      <c r="M32" s="1">
        <v>25</v>
      </c>
      <c r="N32" s="20" t="s">
        <v>27</v>
      </c>
      <c r="O32" s="11">
        <f>60*30</f>
        <v>1800</v>
      </c>
    </row>
    <row r="33" spans="1:16" x14ac:dyDescent="0.2">
      <c r="A33" s="9"/>
      <c r="B33" s="19" t="s">
        <v>21</v>
      </c>
      <c r="C33" s="20">
        <v>1.9</v>
      </c>
      <c r="D33" s="19" t="s">
        <v>22</v>
      </c>
      <c r="E33" s="20">
        <v>1.9</v>
      </c>
      <c r="F33" s="19" t="s">
        <v>24</v>
      </c>
      <c r="G33" s="11">
        <v>0.69399999999999995</v>
      </c>
      <c r="H33" s="19"/>
      <c r="I33" s="20"/>
      <c r="J33" s="19" t="s">
        <v>25</v>
      </c>
      <c r="K33" s="11">
        <v>99.29</v>
      </c>
      <c r="L33" s="1" t="s">
        <v>26</v>
      </c>
      <c r="M33" s="1">
        <v>25</v>
      </c>
      <c r="N33" s="20" t="s">
        <v>27</v>
      </c>
      <c r="O33" s="11">
        <f>60*60</f>
        <v>3600</v>
      </c>
      <c r="P33" s="7"/>
    </row>
    <row r="34" spans="1:16" x14ac:dyDescent="0.2">
      <c r="A34" s="9"/>
      <c r="B34" s="19" t="s">
        <v>28</v>
      </c>
      <c r="C34" s="20">
        <v>1.9</v>
      </c>
      <c r="D34" s="19" t="s">
        <v>22</v>
      </c>
      <c r="E34" s="20">
        <v>1.9</v>
      </c>
      <c r="F34" s="19" t="s">
        <v>24</v>
      </c>
      <c r="G34" s="11">
        <v>0.69399999999999995</v>
      </c>
      <c r="H34" s="19"/>
      <c r="I34" s="20"/>
      <c r="J34" s="19" t="s">
        <v>29</v>
      </c>
      <c r="K34" s="11">
        <v>12.13</v>
      </c>
      <c r="L34" s="1" t="s">
        <v>26</v>
      </c>
      <c r="M34" s="1">
        <v>25</v>
      </c>
      <c r="N34" s="20" t="s">
        <v>27</v>
      </c>
      <c r="O34" s="11">
        <f>60*30</f>
        <v>1800</v>
      </c>
    </row>
    <row r="35" spans="1:16" x14ac:dyDescent="0.2">
      <c r="A35" s="9"/>
      <c r="B35" s="19" t="s">
        <v>28</v>
      </c>
      <c r="C35" s="20">
        <v>1.9</v>
      </c>
      <c r="D35" s="19" t="s">
        <v>22</v>
      </c>
      <c r="E35" s="20">
        <v>1.9</v>
      </c>
      <c r="F35" s="19" t="s">
        <v>24</v>
      </c>
      <c r="G35" s="11">
        <v>0.69399999999999995</v>
      </c>
      <c r="H35" s="19"/>
      <c r="I35" s="20"/>
      <c r="J35" s="19" t="s">
        <v>29</v>
      </c>
      <c r="K35" s="11">
        <v>90.5</v>
      </c>
      <c r="L35" s="1" t="s">
        <v>26</v>
      </c>
      <c r="M35" s="1">
        <v>25</v>
      </c>
      <c r="N35" s="20" t="s">
        <v>27</v>
      </c>
      <c r="O35" s="11">
        <f>60*60</f>
        <v>3600</v>
      </c>
    </row>
    <row r="36" spans="1:16" x14ac:dyDescent="0.2">
      <c r="A36" s="9"/>
      <c r="B36" s="19" t="s">
        <v>28</v>
      </c>
      <c r="C36" s="20">
        <v>1.9</v>
      </c>
      <c r="D36" s="19" t="s">
        <v>22</v>
      </c>
      <c r="E36" s="20">
        <v>1.9</v>
      </c>
      <c r="F36" s="19" t="s">
        <v>24</v>
      </c>
      <c r="G36" s="11">
        <v>0.69399999999999995</v>
      </c>
      <c r="H36" s="19"/>
      <c r="I36" s="20"/>
      <c r="J36" s="19" t="s">
        <v>29</v>
      </c>
      <c r="K36" s="11">
        <v>98.61</v>
      </c>
      <c r="L36" s="1" t="s">
        <v>26</v>
      </c>
      <c r="M36" s="1">
        <v>25</v>
      </c>
      <c r="N36" s="20" t="s">
        <v>27</v>
      </c>
      <c r="O36" s="11">
        <f>60*90</f>
        <v>5400</v>
      </c>
    </row>
    <row r="37" spans="1:16" x14ac:dyDescent="0.2">
      <c r="A37" s="9"/>
      <c r="B37" s="19" t="s">
        <v>30</v>
      </c>
      <c r="C37" s="20">
        <v>1.9</v>
      </c>
      <c r="D37" s="19" t="s">
        <v>22</v>
      </c>
      <c r="E37" s="20">
        <v>1.9</v>
      </c>
      <c r="F37" s="19" t="s">
        <v>24</v>
      </c>
      <c r="G37" s="11">
        <v>0.69399999999999995</v>
      </c>
      <c r="H37" s="19"/>
      <c r="I37" s="20"/>
      <c r="J37" s="19" t="s">
        <v>31</v>
      </c>
      <c r="K37" s="11">
        <v>54.4</v>
      </c>
      <c r="L37" s="1" t="s">
        <v>26</v>
      </c>
      <c r="M37" s="1">
        <v>25</v>
      </c>
      <c r="N37" s="20" t="s">
        <v>27</v>
      </c>
      <c r="O37" s="11">
        <f>60*30</f>
        <v>1800</v>
      </c>
    </row>
    <row r="38" spans="1:16" x14ac:dyDescent="0.2">
      <c r="A38" s="9"/>
      <c r="B38" s="19" t="s">
        <v>30</v>
      </c>
      <c r="C38" s="20">
        <v>1.9</v>
      </c>
      <c r="D38" s="19" t="s">
        <v>22</v>
      </c>
      <c r="E38" s="20">
        <v>1.9</v>
      </c>
      <c r="F38" s="19" t="s">
        <v>24</v>
      </c>
      <c r="G38" s="11">
        <v>0.69399999999999995</v>
      </c>
      <c r="H38" s="19"/>
      <c r="I38" s="20"/>
      <c r="J38" s="19" t="s">
        <v>31</v>
      </c>
      <c r="K38" s="11">
        <v>76.8</v>
      </c>
      <c r="L38" s="1" t="s">
        <v>26</v>
      </c>
      <c r="M38" s="1">
        <v>25</v>
      </c>
      <c r="N38" s="20" t="s">
        <v>27</v>
      </c>
      <c r="O38" s="11">
        <f>60*60</f>
        <v>3600</v>
      </c>
    </row>
    <row r="39" spans="1:16" x14ac:dyDescent="0.2">
      <c r="A39" s="9"/>
      <c r="B39" s="19" t="s">
        <v>30</v>
      </c>
      <c r="C39" s="20">
        <v>1.9</v>
      </c>
      <c r="D39" s="19" t="s">
        <v>22</v>
      </c>
      <c r="E39" s="20">
        <v>1.9</v>
      </c>
      <c r="F39" s="19" t="s">
        <v>24</v>
      </c>
      <c r="G39" s="11">
        <v>0.69399999999999995</v>
      </c>
      <c r="H39" s="19"/>
      <c r="I39" s="20"/>
      <c r="J39" s="19" t="s">
        <v>31</v>
      </c>
      <c r="K39" s="11">
        <v>77.3</v>
      </c>
      <c r="L39" s="1" t="s">
        <v>26</v>
      </c>
      <c r="M39" s="1">
        <v>25</v>
      </c>
      <c r="N39" s="20" t="s">
        <v>27</v>
      </c>
      <c r="O39" s="11">
        <f>60*90</f>
        <v>5400</v>
      </c>
    </row>
    <row r="40" spans="1:16" x14ac:dyDescent="0.2">
      <c r="A40" s="9"/>
      <c r="B40" s="19" t="s">
        <v>37</v>
      </c>
      <c r="C40" s="20">
        <v>1.31</v>
      </c>
      <c r="D40" s="19" t="s">
        <v>38</v>
      </c>
      <c r="E40" s="20">
        <v>0.65</v>
      </c>
      <c r="F40" s="19" t="s">
        <v>39</v>
      </c>
      <c r="G40" s="11">
        <v>0.96699999999999997</v>
      </c>
      <c r="H40" s="19"/>
      <c r="I40" s="20"/>
      <c r="J40" s="19" t="s">
        <v>40</v>
      </c>
      <c r="K40" s="11">
        <v>74</v>
      </c>
      <c r="L40" s="1" t="s">
        <v>26</v>
      </c>
      <c r="M40" s="1">
        <v>15</v>
      </c>
      <c r="N40" s="20" t="s">
        <v>27</v>
      </c>
      <c r="O40" s="11">
        <f>60*15</f>
        <v>900</v>
      </c>
      <c r="P40" s="6"/>
    </row>
    <row r="41" spans="1:16" x14ac:dyDescent="0.2">
      <c r="A41" s="9"/>
      <c r="B41" s="19" t="s">
        <v>37</v>
      </c>
      <c r="C41" s="20">
        <v>1.31</v>
      </c>
      <c r="D41" s="19" t="s">
        <v>38</v>
      </c>
      <c r="E41" s="20">
        <v>0.65</v>
      </c>
      <c r="F41" s="19" t="s">
        <v>39</v>
      </c>
      <c r="G41" s="11">
        <v>0.96699999999999997</v>
      </c>
      <c r="H41" s="19"/>
      <c r="I41" s="20"/>
      <c r="J41" s="19" t="s">
        <v>40</v>
      </c>
      <c r="K41" s="11">
        <v>90</v>
      </c>
      <c r="L41" s="1" t="s">
        <v>26</v>
      </c>
      <c r="M41" s="1">
        <v>25</v>
      </c>
      <c r="N41" s="20" t="s">
        <v>27</v>
      </c>
      <c r="O41" s="11">
        <f>60*15</f>
        <v>900</v>
      </c>
      <c r="P41" s="6"/>
    </row>
    <row r="42" spans="1:16" x14ac:dyDescent="0.2">
      <c r="A42" s="9"/>
      <c r="B42" s="19" t="s">
        <v>37</v>
      </c>
      <c r="C42" s="20">
        <v>1.31</v>
      </c>
      <c r="D42" s="19" t="s">
        <v>38</v>
      </c>
      <c r="E42" s="20">
        <v>0.65</v>
      </c>
      <c r="F42" s="19" t="s">
        <v>39</v>
      </c>
      <c r="G42" s="11">
        <v>0</v>
      </c>
      <c r="H42" s="19"/>
      <c r="I42" s="20"/>
      <c r="J42" s="19" t="s">
        <v>40</v>
      </c>
      <c r="K42" s="11">
        <v>89</v>
      </c>
      <c r="L42" s="1" t="s">
        <v>26</v>
      </c>
      <c r="M42" s="1">
        <v>25</v>
      </c>
      <c r="N42" s="20" t="s">
        <v>27</v>
      </c>
      <c r="O42" s="11">
        <f>60*15</f>
        <v>900</v>
      </c>
      <c r="P42" s="6"/>
    </row>
    <row r="43" spans="1:16" x14ac:dyDescent="0.2">
      <c r="A43" s="9"/>
      <c r="B43" s="19" t="s">
        <v>37</v>
      </c>
      <c r="C43" s="20">
        <v>1.31</v>
      </c>
      <c r="D43" s="19" t="s">
        <v>38</v>
      </c>
      <c r="E43" s="20">
        <v>0.65</v>
      </c>
      <c r="F43" s="19" t="s">
        <v>39</v>
      </c>
      <c r="G43" s="11">
        <v>0</v>
      </c>
      <c r="H43" s="19"/>
      <c r="I43" s="20"/>
      <c r="J43" s="19" t="s">
        <v>40</v>
      </c>
      <c r="K43" s="11">
        <v>93</v>
      </c>
      <c r="L43" s="1" t="s">
        <v>26</v>
      </c>
      <c r="M43" s="1">
        <v>25</v>
      </c>
      <c r="N43" s="20" t="s">
        <v>27</v>
      </c>
      <c r="O43" s="11">
        <f>60*20</f>
        <v>1200</v>
      </c>
      <c r="P43" s="6"/>
    </row>
    <row r="44" spans="1:16" x14ac:dyDescent="0.2">
      <c r="A44" s="9"/>
      <c r="B44" s="19" t="s">
        <v>37</v>
      </c>
      <c r="C44" s="20">
        <v>1.31</v>
      </c>
      <c r="D44" s="19" t="s">
        <v>38</v>
      </c>
      <c r="E44" s="20">
        <v>0.65</v>
      </c>
      <c r="F44" s="19" t="s">
        <v>39</v>
      </c>
      <c r="G44" s="11">
        <v>0</v>
      </c>
      <c r="H44" s="19"/>
      <c r="I44" s="20"/>
      <c r="J44" s="19" t="s">
        <v>40</v>
      </c>
      <c r="K44" s="11">
        <v>100</v>
      </c>
      <c r="L44" s="1" t="s">
        <v>26</v>
      </c>
      <c r="M44" s="1">
        <v>25</v>
      </c>
      <c r="N44" s="20" t="s">
        <v>27</v>
      </c>
      <c r="O44" s="11">
        <f>60*30</f>
        <v>1800</v>
      </c>
      <c r="P44" s="6"/>
    </row>
    <row r="45" spans="1:16" x14ac:dyDescent="0.2">
      <c r="A45" s="9"/>
      <c r="B45" s="19" t="s">
        <v>45</v>
      </c>
      <c r="C45" s="20">
        <v>2.81</v>
      </c>
      <c r="D45" s="19" t="s">
        <v>43</v>
      </c>
      <c r="E45" s="20">
        <v>2.81</v>
      </c>
      <c r="F45" s="19"/>
      <c r="G45" s="20"/>
      <c r="H45" s="19" t="s">
        <v>33</v>
      </c>
      <c r="I45" s="20">
        <v>0.217</v>
      </c>
      <c r="J45" s="19" t="s">
        <v>44</v>
      </c>
      <c r="K45" s="11">
        <v>100</v>
      </c>
      <c r="L45" s="1" t="s">
        <v>26</v>
      </c>
      <c r="M45" s="1">
        <v>25</v>
      </c>
      <c r="N45" s="20" t="s">
        <v>27</v>
      </c>
      <c r="O45" s="11">
        <f>60*30</f>
        <v>1800</v>
      </c>
      <c r="P45" s="6"/>
    </row>
    <row r="46" spans="1:16" x14ac:dyDescent="0.2">
      <c r="P46" s="6"/>
    </row>
    <row r="47" spans="1:16" x14ac:dyDescent="0.2">
      <c r="J47" s="5"/>
      <c r="K47" s="5"/>
    </row>
    <row r="48" spans="1:16" x14ac:dyDescent="0.2">
      <c r="L48" s="5"/>
      <c r="M48" s="5"/>
    </row>
    <row r="49" spans="12:15" x14ac:dyDescent="0.2">
      <c r="L49" s="5"/>
      <c r="M49" s="5"/>
    </row>
    <row r="50" spans="12:15" x14ac:dyDescent="0.2">
      <c r="L50" s="5"/>
      <c r="M50" s="5"/>
    </row>
    <row r="51" spans="12:15" x14ac:dyDescent="0.2">
      <c r="L51" s="5"/>
      <c r="M51" s="5"/>
    </row>
    <row r="52" spans="12:15" x14ac:dyDescent="0.2">
      <c r="L52" s="5"/>
      <c r="M52" s="5"/>
    </row>
    <row r="53" spans="12:15" x14ac:dyDescent="0.2">
      <c r="L53" s="5"/>
      <c r="M53" s="5"/>
    </row>
    <row r="54" spans="12:15" x14ac:dyDescent="0.2">
      <c r="L54" s="5"/>
      <c r="M54" s="5"/>
    </row>
    <row r="55" spans="12:15" x14ac:dyDescent="0.2">
      <c r="L55" s="5"/>
      <c r="M55" s="5"/>
    </row>
    <row r="56" spans="12:15" x14ac:dyDescent="0.2">
      <c r="L56" s="5"/>
      <c r="M56" s="5"/>
    </row>
    <row r="57" spans="12:15" x14ac:dyDescent="0.2">
      <c r="L57" s="5"/>
      <c r="M57" s="5"/>
    </row>
    <row r="58" spans="12:15" x14ac:dyDescent="0.2">
      <c r="L58" s="5"/>
      <c r="M58" s="5"/>
      <c r="O58" s="6"/>
    </row>
    <row r="59" spans="12:15" x14ac:dyDescent="0.2">
      <c r="L59" s="5"/>
      <c r="M59" s="5"/>
      <c r="O59" s="6"/>
    </row>
    <row r="60" spans="12:15" x14ac:dyDescent="0.2">
      <c r="L60" s="5"/>
      <c r="M60" s="5"/>
      <c r="O60" s="6"/>
    </row>
    <row r="61" spans="12:15" x14ac:dyDescent="0.2">
      <c r="L61" s="5"/>
      <c r="M61" s="5"/>
      <c r="O61" s="6"/>
    </row>
    <row r="62" spans="12:15" x14ac:dyDescent="0.2">
      <c r="L62" s="5"/>
      <c r="M62" s="5"/>
      <c r="O62" s="6"/>
    </row>
    <row r="63" spans="12:15" x14ac:dyDescent="0.2">
      <c r="L63" s="5"/>
      <c r="M63" s="5"/>
      <c r="O63" s="6"/>
    </row>
    <row r="64" spans="12:15" x14ac:dyDescent="0.2">
      <c r="L64" s="5"/>
      <c r="M64" s="5"/>
      <c r="O64" s="6"/>
    </row>
    <row r="65" s="4" customFormat="1" x14ac:dyDescent="0.2"/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2025-09-24T17:31:23Z</dcterms:modified>
</cp:coreProperties>
</file>